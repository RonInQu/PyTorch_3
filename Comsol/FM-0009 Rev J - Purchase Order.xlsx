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Comsol/"/>
    </mc:Choice>
  </mc:AlternateContent>
  <xr:revisionPtr revIDLastSave="0" documentId="8_{EFB96F31-E293-42C9-8707-746862406FD1}" xr6:coauthVersionLast="47" xr6:coauthVersionMax="47" xr10:uidLastSave="{00000000-0000-0000-0000-000000000000}"/>
  <bookViews>
    <workbookView xWindow="19884" yWindow="1644" windowWidth="20340" windowHeight="13932" xr2:uid="{00000000-000D-0000-FFFF-FFFF00000000}"/>
  </bookViews>
  <sheets>
    <sheet name="PO Form" sheetId="1" r:id="rId1"/>
    <sheet name="Acct Code_Dept" sheetId="2" r:id="rId2"/>
    <sheet name="Sales Tax by State" sheetId="3" r:id="rId3"/>
  </sheets>
  <calcPr calcId="191028"/>
  <customWorkbookViews>
    <customWorkbookView name="Rob Tucker - Personal View" guid="{18573B57-776C-491C-924F-2D0E1E6F1642}" mergeInterval="0" personalView="1" xWindow="-3684" yWindow="156" windowWidth="2880" windowHeight="1563" activeSheetId="1"/>
    <customWorkbookView name="Kelly La - Personal View" guid="{BB88A8E0-C71B-497A-951D-3562D09F419F}" mergeInterval="0" personalView="1" maximized="1" xWindow="-9" yWindow="-9" windowWidth="1938" windowHeight="1158" activeSheetId="2"/>
    <customWorkbookView name="Norman Prudente - Personal View" guid="{00160FCA-1959-406D-BEC6-532080CC4EA1}" mergeInterval="0" personalView="1" maximized="1" xWindow="3832" yWindow="-8" windowWidth="1936" windowHeight="1048" activeSheetId="1"/>
    <customWorkbookView name="Michelle McAllister - Personal View" guid="{6380A144-568E-A444-AD29-13D143E15DA1}" mergeInterval="0" personalView="1" maximized="1" yWindow="25" windowWidth="1920" windowHeight="105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44pC9xS7019xXn6pSb8XVYgKA4w=="/>
    </ext>
  </extLst>
</workbook>
</file>

<file path=xl/calcChain.xml><?xml version="1.0" encoding="utf-8"?>
<calcChain xmlns="http://schemas.openxmlformats.org/spreadsheetml/2006/main">
  <c r="F15" i="1" l="1"/>
  <c r="F14" i="1"/>
  <c r="F33" i="1"/>
  <c r="F1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 l="1"/>
  <c r="F35" i="1" s="1"/>
</calcChain>
</file>

<file path=xl/sharedStrings.xml><?xml version="1.0" encoding="utf-8"?>
<sst xmlns="http://schemas.openxmlformats.org/spreadsheetml/2006/main" count="290" uniqueCount="276">
  <si>
    <t>PURCHASE ORDER</t>
  </si>
  <si>
    <t xml:space="preserve">PO # </t>
  </si>
  <si>
    <t>Remit payment and ship to: 
1530 O'Brien Drive, Suite  A, 
Menlo Park, CA 94025</t>
  </si>
  <si>
    <t>Refer to SOP-0004 for instructions</t>
  </si>
  <si>
    <t>Supplier Name:</t>
  </si>
  <si>
    <t>Requestor:</t>
  </si>
  <si>
    <t>Address:</t>
  </si>
  <si>
    <t>Date:</t>
  </si>
  <si>
    <t>State:</t>
  </si>
  <si>
    <t>F.O.B:</t>
  </si>
  <si>
    <t>Zip Code:</t>
  </si>
  <si>
    <t>Ship Via:</t>
  </si>
  <si>
    <t>Phone/Fax:</t>
  </si>
  <si>
    <t>Notes:</t>
  </si>
  <si>
    <t>Contact:</t>
  </si>
  <si>
    <t>Terms:</t>
  </si>
  <si>
    <t>Billing:</t>
  </si>
  <si>
    <t>Please submit all invoices to 
Accounting@inquismedical.com</t>
  </si>
  <si>
    <t>Inquis Part Number</t>
  </si>
  <si>
    <t>Rev</t>
  </si>
  <si>
    <t>Description</t>
  </si>
  <si>
    <t>Unit Price</t>
  </si>
  <si>
    <t>Qty</t>
  </si>
  <si>
    <t>Extn</t>
  </si>
  <si>
    <t>Account Code</t>
  </si>
  <si>
    <t>Dept</t>
  </si>
  <si>
    <t>SUB TOTAL</t>
  </si>
  <si>
    <t xml:space="preserve">For production purchases or QMS related products/services, </t>
  </si>
  <si>
    <r>
      <t xml:space="preserve">TAXABLE </t>
    </r>
    <r>
      <rPr>
        <b/>
        <vertAlign val="superscript"/>
        <sz val="12"/>
        <color theme="1"/>
        <rFont val="Calibri"/>
        <family val="2"/>
      </rPr>
      <t>(1)</t>
    </r>
  </si>
  <si>
    <t>0=NO</t>
  </si>
  <si>
    <t>0=No, 1=Yes (This is a required field)</t>
  </si>
  <si>
    <t xml:space="preserve">is supplier on ASL (confirm correct Supplier Classification)?  </t>
  </si>
  <si>
    <r>
      <rPr>
        <vertAlign val="superscript"/>
        <sz val="8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>Any items purchased for commercial production should not be taxed and the supplier should be provided a copy of the Inquis Medical resale certificate.</t>
    </r>
  </si>
  <si>
    <t>☐ Yes. ☐ No - Notify QA  ☐ N/A</t>
  </si>
  <si>
    <t>SALES TAX RATE</t>
  </si>
  <si>
    <r>
      <t xml:space="preserve">* Sales tax shown on this Purchase Order is an </t>
    </r>
    <r>
      <rPr>
        <b/>
        <sz val="8"/>
        <rFont val="Calibri"/>
        <family val="2"/>
        <scheme val="minor"/>
      </rPr>
      <t>estimate only</t>
    </r>
    <r>
      <rPr>
        <sz val="8"/>
        <rFont val="Calibri"/>
        <family val="2"/>
        <scheme val="minor"/>
      </rPr>
      <t xml:space="preserve"> and may not reflect the exact tax rate imposed by specific </t>
    </r>
    <r>
      <rPr>
        <b/>
        <sz val="8"/>
        <rFont val="Calibri"/>
        <family val="2"/>
        <scheme val="minor"/>
      </rPr>
      <t>county, city, or state</t>
    </r>
    <r>
      <rPr>
        <sz val="8"/>
        <rFont val="Calibri"/>
        <family val="2"/>
        <scheme val="minor"/>
      </rPr>
      <t xml:space="preserve"> jurisdictions. Final tax amounts will be determined based on applicable local tax laws at the time of invoicing.</t>
    </r>
  </si>
  <si>
    <t xml:space="preserve"> ☐ Custom-made production parts: specification attached. </t>
  </si>
  <si>
    <t>TOTAL</t>
  </si>
  <si>
    <t>Requestor Name:</t>
  </si>
  <si>
    <t>Approved By:</t>
  </si>
  <si>
    <r>
      <rPr>
        <b/>
        <sz val="14"/>
        <color theme="1"/>
        <rFont val="Calibri"/>
        <family val="2"/>
      </rPr>
      <t>SUPPLIER AGREEMENT: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 xml:space="preserve">By accepting this Purchase Order, Supplier agrees to not make any changes to supplied product </t>
    </r>
    <r>
      <rPr>
        <b/>
        <i/>
        <u/>
        <sz val="14"/>
        <color theme="1"/>
        <rFont val="Calibri"/>
        <family val="2"/>
      </rPr>
      <t>without written consent from Inquis Medical.</t>
    </r>
  </si>
  <si>
    <t>Accounting Code</t>
  </si>
  <si>
    <t>Departments</t>
  </si>
  <si>
    <t>1410 Inventory, Raw Material</t>
  </si>
  <si>
    <r>
      <t xml:space="preserve">If the </t>
    </r>
    <r>
      <rPr>
        <b/>
        <sz val="11"/>
        <color rgb="FFC00000"/>
        <rFont val="Calibri"/>
        <family val="2"/>
        <scheme val="minor"/>
      </rPr>
      <t>"Raw Materials"</t>
    </r>
    <r>
      <rPr>
        <sz val="11"/>
        <color rgb="FFC00000"/>
        <rFont val="Calibri"/>
        <family val="2"/>
        <scheme val="minor"/>
      </rPr>
      <t xml:space="preserve"> account is selected for your purchase,
 the </t>
    </r>
    <r>
      <rPr>
        <b/>
        <sz val="11"/>
        <color rgb="FFC00000"/>
        <rFont val="Calibri"/>
        <family val="2"/>
        <scheme val="minor"/>
      </rPr>
      <t>"Taxable"</t>
    </r>
    <r>
      <rPr>
        <sz val="11"/>
        <color rgb="FFC00000"/>
        <rFont val="Calibri"/>
        <family val="2"/>
        <scheme val="minor"/>
      </rPr>
      <t xml:space="preserve"> field should be marked as </t>
    </r>
    <r>
      <rPr>
        <b/>
        <sz val="11"/>
        <color rgb="FFC00000"/>
        <rFont val="Calibri"/>
        <family val="2"/>
        <scheme val="minor"/>
      </rPr>
      <t>"No"</t>
    </r>
    <r>
      <rPr>
        <sz val="11"/>
        <color rgb="FFC00000"/>
        <rFont val="Calibri"/>
        <family val="2"/>
        <scheme val="minor"/>
      </rPr>
      <t>.</t>
    </r>
  </si>
  <si>
    <t>10-G&amp;A</t>
  </si>
  <si>
    <t>1510 Computers</t>
  </si>
  <si>
    <t>20-Mktg</t>
  </si>
  <si>
    <t>1520 Software</t>
  </si>
  <si>
    <t>30-Ops</t>
  </si>
  <si>
    <t>1530 Lab Equipment</t>
  </si>
  <si>
    <t>40-R&amp;D</t>
  </si>
  <si>
    <t>1540 Tools</t>
  </si>
  <si>
    <t>DVT</t>
  </si>
  <si>
    <t>1550 Furniture &amp; Fixtures</t>
  </si>
  <si>
    <t>Gen 1</t>
  </si>
  <si>
    <t>1560 L/H Improvements</t>
  </si>
  <si>
    <t>Gen 2</t>
  </si>
  <si>
    <t>6150 Development/Training</t>
  </si>
  <si>
    <t>Sensing</t>
  </si>
  <si>
    <t>6155 Recruiting Exp</t>
  </si>
  <si>
    <t>50-QA</t>
  </si>
  <si>
    <t>6410 R&amp;D Consult</t>
  </si>
  <si>
    <t>60-Clin</t>
  </si>
  <si>
    <t>6415 Sales &amp; Mktg Consult</t>
  </si>
  <si>
    <t>70-Reg</t>
  </si>
  <si>
    <t>6420 Finance Consult</t>
  </si>
  <si>
    <t>80-Sales</t>
  </si>
  <si>
    <t>6430 Clinical Advisors</t>
  </si>
  <si>
    <t>6440 Consulting - Other</t>
  </si>
  <si>
    <t>6441 Clinical/Regulatory Consult</t>
  </si>
  <si>
    <t>6442 Quality Consult</t>
  </si>
  <si>
    <t>6443 IT Consult</t>
  </si>
  <si>
    <t>6445 Promotional/Advertising</t>
  </si>
  <si>
    <t>6455 Advertising</t>
  </si>
  <si>
    <t>6460 Conferences/Trade Shows</t>
  </si>
  <si>
    <t>6465 Market Research</t>
  </si>
  <si>
    <t>6480 Website and Cloud Services</t>
  </si>
  <si>
    <t>6490 Marketing Production &amp; Design</t>
  </si>
  <si>
    <t>6505 Lab Services</t>
  </si>
  <si>
    <t>6510 Sterilization Services</t>
  </si>
  <si>
    <t>6520 Testing Services</t>
  </si>
  <si>
    <t>6535 Calibration Services</t>
  </si>
  <si>
    <t>6545 Other Outside Lab Services</t>
  </si>
  <si>
    <t>6555 Clin Physicians Fees</t>
  </si>
  <si>
    <t>6560 Site Patient Cost</t>
  </si>
  <si>
    <t>6565 Clinical Studies</t>
  </si>
  <si>
    <t>6570 Clinical IRB / FDA</t>
  </si>
  <si>
    <t>6575 Clinical Site Fees</t>
  </si>
  <si>
    <t>6580 Clinical Materials</t>
  </si>
  <si>
    <t>6590 Clin Animal/Cadaver Studies</t>
  </si>
  <si>
    <t>6615 Prototype Materials</t>
  </si>
  <si>
    <t>6630 Lab Supplies</t>
  </si>
  <si>
    <t>6635 Freight-in Prototype &amp; Lab</t>
  </si>
  <si>
    <t>6655 Equipment Rental</t>
  </si>
  <si>
    <t>6660 Computer &lt; $2.5K</t>
  </si>
  <si>
    <t>6665 Software &lt; $2.5K</t>
  </si>
  <si>
    <t>6670 Equipment &lt; $2.5K</t>
  </si>
  <si>
    <t>6705 Kitchen Supplies</t>
  </si>
  <si>
    <t>6710 Office Supplies</t>
  </si>
  <si>
    <t>6715 Printing &amp; Reproduction</t>
  </si>
  <si>
    <t>6720 Internet/Phone/Fax</t>
  </si>
  <si>
    <t>6730 Dues/Membership/Registration</t>
  </si>
  <si>
    <t>6740 Furniture Expense</t>
  </si>
  <si>
    <t>6745 Postage &amp; Shipping</t>
  </si>
  <si>
    <t>6750 Subscriptions</t>
  </si>
  <si>
    <t>6755 Outside Services</t>
  </si>
  <si>
    <t>6760 Other Misc Office Exp</t>
  </si>
  <si>
    <t>6840 Building Utilities</t>
  </si>
  <si>
    <t>6850 Business Moving Exp</t>
  </si>
  <si>
    <t>State</t>
  </si>
  <si>
    <t>Abbreviation</t>
  </si>
  <si>
    <t>State (XX)</t>
  </si>
  <si>
    <t>State Rate</t>
  </si>
  <si>
    <t>Alabama</t>
  </si>
  <si>
    <t>AL</t>
  </si>
  <si>
    <t>Alabama (AL)</t>
  </si>
  <si>
    <t>Alaska</t>
  </si>
  <si>
    <t>AK</t>
  </si>
  <si>
    <t>Alaska (AK)</t>
  </si>
  <si>
    <t>* No Sales tax</t>
  </si>
  <si>
    <t>Arizona</t>
  </si>
  <si>
    <t>AZ</t>
  </si>
  <si>
    <t>Arizona (AZ)</t>
  </si>
  <si>
    <t>Arkansas</t>
  </si>
  <si>
    <t>AR</t>
  </si>
  <si>
    <t>Arkansas (AR)</t>
  </si>
  <si>
    <t>California</t>
  </si>
  <si>
    <t>CA</t>
  </si>
  <si>
    <t>California (CA)</t>
  </si>
  <si>
    <t>Colorado</t>
  </si>
  <si>
    <t>CO</t>
  </si>
  <si>
    <t>Colorado (CO)</t>
  </si>
  <si>
    <t>Connecticut</t>
  </si>
  <si>
    <t>CT</t>
  </si>
  <si>
    <t>Connecticut (CT)</t>
  </si>
  <si>
    <t>Delaware</t>
  </si>
  <si>
    <t>DE</t>
  </si>
  <si>
    <t>Delaware (DE)</t>
  </si>
  <si>
    <t>Florida</t>
  </si>
  <si>
    <t>FL</t>
  </si>
  <si>
    <t>Florida (FL)</t>
  </si>
  <si>
    <t>Georgia</t>
  </si>
  <si>
    <t>GA</t>
  </si>
  <si>
    <t>Georgia (GA)</t>
  </si>
  <si>
    <t>Hawaii</t>
  </si>
  <si>
    <t>HI</t>
  </si>
  <si>
    <t>Hawaii (HI)</t>
  </si>
  <si>
    <t>Idaho</t>
  </si>
  <si>
    <t>ID</t>
  </si>
  <si>
    <t>Idaho (ID)</t>
  </si>
  <si>
    <t>Illinois</t>
  </si>
  <si>
    <t>IL</t>
  </si>
  <si>
    <t>Illinois (IL)</t>
  </si>
  <si>
    <t>Indiana</t>
  </si>
  <si>
    <t>IN</t>
  </si>
  <si>
    <t>Indiana (IN)</t>
  </si>
  <si>
    <t>Iowa</t>
  </si>
  <si>
    <t>IA</t>
  </si>
  <si>
    <t>Iowa (IA)</t>
  </si>
  <si>
    <t>Kansas</t>
  </si>
  <si>
    <t>KS</t>
  </si>
  <si>
    <t>Kansas (KS)</t>
  </si>
  <si>
    <t>Kentucky</t>
  </si>
  <si>
    <t>KY</t>
  </si>
  <si>
    <t>Kentucky (KY)</t>
  </si>
  <si>
    <t>Louisiana</t>
  </si>
  <si>
    <t>LA</t>
  </si>
  <si>
    <t>Louisiana (LA)</t>
  </si>
  <si>
    <t>Maine</t>
  </si>
  <si>
    <t>ME</t>
  </si>
  <si>
    <t>Maine (ME)</t>
  </si>
  <si>
    <t>Maryland</t>
  </si>
  <si>
    <t>MD</t>
  </si>
  <si>
    <t>Maryland (MD)</t>
  </si>
  <si>
    <t>Massachusetts</t>
  </si>
  <si>
    <t>MA</t>
  </si>
  <si>
    <t>Massachusetts (MA)</t>
  </si>
  <si>
    <t>Michigan</t>
  </si>
  <si>
    <t>MI</t>
  </si>
  <si>
    <t>Michigan (MI)</t>
  </si>
  <si>
    <t>Minnesota</t>
  </si>
  <si>
    <t>MN</t>
  </si>
  <si>
    <t>Minnesota (MN)</t>
  </si>
  <si>
    <t>Mississippi</t>
  </si>
  <si>
    <t>MS</t>
  </si>
  <si>
    <t>Mississippi (MS)</t>
  </si>
  <si>
    <t>Missouri</t>
  </si>
  <si>
    <t>MO</t>
  </si>
  <si>
    <t>Missouri (MO)</t>
  </si>
  <si>
    <t>Montana</t>
  </si>
  <si>
    <t>MT</t>
  </si>
  <si>
    <t>Montana (MT)</t>
  </si>
  <si>
    <t>Nebraska</t>
  </si>
  <si>
    <t>NE</t>
  </si>
  <si>
    <t>Nebraska (NE)</t>
  </si>
  <si>
    <t>Nevada</t>
  </si>
  <si>
    <t>NV</t>
  </si>
  <si>
    <t>Nevada (NV)</t>
  </si>
  <si>
    <t>New Hampshire</t>
  </si>
  <si>
    <t>NH</t>
  </si>
  <si>
    <t>New Hampshire (NH)</t>
  </si>
  <si>
    <t>New Jersey</t>
  </si>
  <si>
    <t>NJ</t>
  </si>
  <si>
    <t>New Jersey (NJ)</t>
  </si>
  <si>
    <t>New Mexico</t>
  </si>
  <si>
    <t>NM</t>
  </si>
  <si>
    <t>New Mexico (NM)</t>
  </si>
  <si>
    <t>New York</t>
  </si>
  <si>
    <t>NY</t>
  </si>
  <si>
    <t>New York (NY)</t>
  </si>
  <si>
    <t>North Carolina</t>
  </si>
  <si>
    <t>NC</t>
  </si>
  <si>
    <t>North Carolina (NC)</t>
  </si>
  <si>
    <t>North Dakota</t>
  </si>
  <si>
    <t>ND</t>
  </si>
  <si>
    <t>North Dakota (ND)</t>
  </si>
  <si>
    <t>Ohio</t>
  </si>
  <si>
    <t>OH</t>
  </si>
  <si>
    <t>Ohio (OH)</t>
  </si>
  <si>
    <t>Oklahoma</t>
  </si>
  <si>
    <t>OK</t>
  </si>
  <si>
    <t>Oklahoma (OK)</t>
  </si>
  <si>
    <t>Oregon</t>
  </si>
  <si>
    <t>OR</t>
  </si>
  <si>
    <t>Oregon (OR)</t>
  </si>
  <si>
    <t>Pennsylvania</t>
  </si>
  <si>
    <t>PA</t>
  </si>
  <si>
    <t>Pennsylvania (PA)</t>
  </si>
  <si>
    <t>Rhode Island</t>
  </si>
  <si>
    <t>RI</t>
  </si>
  <si>
    <t>Rhode Island (RI)</t>
  </si>
  <si>
    <t>South Carolina</t>
  </si>
  <si>
    <t>SC</t>
  </si>
  <si>
    <t>South Carolina (SC)</t>
  </si>
  <si>
    <t>South Dakota</t>
  </si>
  <si>
    <t>SD</t>
  </si>
  <si>
    <t>South Dakota (SD)</t>
  </si>
  <si>
    <t>Tennessee</t>
  </si>
  <si>
    <t>TN</t>
  </si>
  <si>
    <t>Tennessee (TN)</t>
  </si>
  <si>
    <t>Texas</t>
  </si>
  <si>
    <t>TX</t>
  </si>
  <si>
    <t>Texas (TX)</t>
  </si>
  <si>
    <t>Utah</t>
  </si>
  <si>
    <t>UT</t>
  </si>
  <si>
    <t>Utah (UT)</t>
  </si>
  <si>
    <t>Vermont</t>
  </si>
  <si>
    <t>VT</t>
  </si>
  <si>
    <t>Vermont (VT)</t>
  </si>
  <si>
    <t>Virginia</t>
  </si>
  <si>
    <t>VA</t>
  </si>
  <si>
    <t>Virginia (VA)</t>
  </si>
  <si>
    <t>Washington</t>
  </si>
  <si>
    <t>WA</t>
  </si>
  <si>
    <t>Washington (WA)</t>
  </si>
  <si>
    <t>West Virginia</t>
  </si>
  <si>
    <t>WV</t>
  </si>
  <si>
    <t>West Virginia (WV)</t>
  </si>
  <si>
    <t>Wisconsin</t>
  </si>
  <si>
    <t>WI</t>
  </si>
  <si>
    <t>Wisconsin (WI)</t>
  </si>
  <si>
    <t>Wyoming</t>
  </si>
  <si>
    <t>WY</t>
  </si>
  <si>
    <t>Wyoming (WY)</t>
  </si>
  <si>
    <t>PO-3088</t>
  </si>
  <si>
    <t>Ronald Kurnik</t>
  </si>
  <si>
    <t>COMSOL</t>
  </si>
  <si>
    <t>100 District Avenue</t>
  </si>
  <si>
    <t>(781) 273-3322</t>
  </si>
  <si>
    <t>Annual</t>
  </si>
  <si>
    <t>Mina Sierou</t>
  </si>
  <si>
    <t>COMSOL Multiphysics,</t>
  </si>
  <si>
    <t xml:space="preserve">AC/DC Module </t>
  </si>
  <si>
    <t>CAD Import Module</t>
  </si>
  <si>
    <t>LiveLink for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</si>
</sst>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</font>
    <font>
      <b/>
      <i/>
      <u/>
      <sz val="14"/>
      <color theme="1"/>
      <name val="Calibri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11"/>
      <name val="Calibri (Body)"/>
    </font>
    <font>
      <b/>
      <sz val="12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0.5"/>
      <color theme="1"/>
      <name val="Calibri"/>
      <family val="2"/>
    </font>
    <font>
      <b/>
      <sz val="14"/>
      <color rgb="FF002060"/>
      <name val="Calibri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name val="Calibri"/>
      <family val="2"/>
    </font>
    <font>
      <b/>
      <sz val="12"/>
      <name val="Calibri"/>
      <family val="2"/>
    </font>
    <font>
      <b/>
      <vertAlign val="superscript"/>
      <sz val="12"/>
      <color theme="1"/>
      <name val="Calibri"/>
      <family val="2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38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6" fillId="0" borderId="0" xfId="0" applyNumberFormat="1" applyFont="1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wrapText="1"/>
    </xf>
    <xf numFmtId="164" fontId="6" fillId="0" borderId="4" xfId="0" applyNumberFormat="1" applyFont="1" applyBorder="1" applyAlignment="1">
      <alignment horizontal="center"/>
    </xf>
    <xf numFmtId="0" fontId="12" fillId="0" borderId="0" xfId="0" applyFont="1"/>
    <xf numFmtId="164" fontId="6" fillId="0" borderId="0" xfId="0" applyNumberFormat="1" applyFont="1" applyAlignment="1">
      <alignment horizontal="center"/>
    </xf>
    <xf numFmtId="0" fontId="7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6" fillId="0" borderId="4" xfId="0" applyFont="1" applyBorder="1" applyAlignment="1">
      <alignment horizontal="center"/>
    </xf>
    <xf numFmtId="0" fontId="20" fillId="0" borderId="0" xfId="0" applyFont="1" applyAlignment="1">
      <alignment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35" xfId="0" applyFont="1" applyBorder="1"/>
    <xf numFmtId="0" fontId="13" fillId="0" borderId="34" xfId="0" applyFont="1" applyBorder="1"/>
    <xf numFmtId="0" fontId="13" fillId="0" borderId="35" xfId="0" applyFont="1" applyBorder="1"/>
    <xf numFmtId="0" fontId="30" fillId="0" borderId="35" xfId="0" applyFont="1" applyBorder="1"/>
    <xf numFmtId="0" fontId="13" fillId="0" borderId="36" xfId="0" applyFont="1" applyBorder="1"/>
    <xf numFmtId="0" fontId="15" fillId="0" borderId="35" xfId="0" applyFont="1" applyBorder="1" applyAlignment="1">
      <alignment wrapText="1"/>
    </xf>
    <xf numFmtId="0" fontId="27" fillId="0" borderId="35" xfId="0" applyFont="1" applyBorder="1" applyAlignment="1">
      <alignment wrapText="1"/>
    </xf>
    <xf numFmtId="0" fontId="15" fillId="0" borderId="36" xfId="0" applyFont="1" applyBorder="1" applyAlignment="1">
      <alignment wrapText="1"/>
    </xf>
    <xf numFmtId="44" fontId="6" fillId="0" borderId="4" xfId="1" applyFont="1" applyBorder="1" applyAlignment="1">
      <alignment horizontal="center"/>
    </xf>
    <xf numFmtId="44" fontId="6" fillId="0" borderId="24" xfId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39" xfId="0" applyNumberFormat="1" applyFont="1" applyBorder="1" applyAlignment="1">
      <alignment horizontal="center"/>
    </xf>
    <xf numFmtId="0" fontId="32" fillId="0" borderId="0" xfId="0" applyFont="1" applyAlignment="1">
      <alignment horizontal="right" vertical="center"/>
    </xf>
    <xf numFmtId="0" fontId="33" fillId="0" borderId="0" xfId="0" applyFont="1"/>
    <xf numFmtId="10" fontId="32" fillId="0" borderId="15" xfId="2" applyNumberFormat="1" applyFont="1" applyBorder="1" applyAlignment="1">
      <alignment horizontal="center"/>
    </xf>
    <xf numFmtId="164" fontId="9" fillId="0" borderId="28" xfId="0" applyNumberFormat="1" applyFont="1" applyBorder="1" applyAlignment="1">
      <alignment horizontal="center" vertical="center"/>
    </xf>
    <xf numFmtId="0" fontId="0" fillId="0" borderId="11" xfId="0" applyBorder="1"/>
    <xf numFmtId="10" fontId="0" fillId="0" borderId="12" xfId="2" applyNumberFormat="1" applyFont="1" applyBorder="1"/>
    <xf numFmtId="0" fontId="0" fillId="0" borderId="13" xfId="0" applyBorder="1"/>
    <xf numFmtId="10" fontId="0" fillId="0" borderId="14" xfId="2" applyNumberFormat="1" applyFont="1" applyBorder="1"/>
    <xf numFmtId="0" fontId="0" fillId="0" borderId="35" xfId="0" applyBorder="1"/>
    <xf numFmtId="0" fontId="0" fillId="0" borderId="36" xfId="0" applyBorder="1"/>
    <xf numFmtId="0" fontId="29" fillId="2" borderId="17" xfId="0" applyFont="1" applyFill="1" applyBorder="1" applyAlignment="1">
      <alignment horizontal="center" vertical="top"/>
    </xf>
    <xf numFmtId="0" fontId="29" fillId="2" borderId="15" xfId="0" applyFont="1" applyFill="1" applyBorder="1" applyAlignment="1">
      <alignment horizontal="center" vertical="top"/>
    </xf>
    <xf numFmtId="0" fontId="29" fillId="2" borderId="42" xfId="0" applyFont="1" applyFill="1" applyBorder="1" applyAlignment="1">
      <alignment horizontal="center" vertical="top"/>
    </xf>
    <xf numFmtId="0" fontId="29" fillId="2" borderId="15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1" fontId="9" fillId="3" borderId="25" xfId="0" applyNumberFormat="1" applyFont="1" applyFill="1" applyBorder="1" applyAlignment="1">
      <alignment horizontal="center"/>
    </xf>
    <xf numFmtId="0" fontId="36" fillId="4" borderId="15" xfId="0" applyFont="1" applyFill="1" applyBorder="1" applyAlignment="1">
      <alignment horizontal="center" vertical="center" wrapText="1"/>
    </xf>
    <xf numFmtId="0" fontId="36" fillId="4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horizontal="right"/>
    </xf>
    <xf numFmtId="0" fontId="31" fillId="0" borderId="0" xfId="0" applyFont="1" applyAlignment="1">
      <alignment vertical="center" wrapText="1"/>
    </xf>
    <xf numFmtId="0" fontId="2" fillId="0" borderId="0" xfId="0" applyFont="1"/>
    <xf numFmtId="0" fontId="2" fillId="0" borderId="20" xfId="0" applyFont="1" applyBorder="1" applyAlignment="1">
      <alignment horizontal="center" vertical="center"/>
    </xf>
    <xf numFmtId="0" fontId="2" fillId="0" borderId="35" xfId="0" applyFont="1" applyBorder="1"/>
    <xf numFmtId="0" fontId="6" fillId="0" borderId="1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8" fontId="6" fillId="0" borderId="16" xfId="1" applyNumberFormat="1" applyFont="1" applyBorder="1" applyAlignment="1">
      <alignment horizontal="center"/>
    </xf>
    <xf numFmtId="8" fontId="6" fillId="0" borderId="4" xfId="1" applyNumberFormat="1" applyFont="1" applyBorder="1" applyAlignment="1">
      <alignment horizont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7" fillId="0" borderId="6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37" fillId="4" borderId="17" xfId="0" applyFont="1" applyFill="1" applyBorder="1" applyAlignment="1">
      <alignment horizontal="center" vertical="center"/>
    </xf>
    <xf numFmtId="0" fontId="37" fillId="4" borderId="2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/>
    <xf numFmtId="0" fontId="7" fillId="0" borderId="38" xfId="0" applyFont="1" applyBorder="1" applyAlignment="1">
      <alignment horizontal="right" vertical="center"/>
    </xf>
    <xf numFmtId="0" fontId="5" fillId="0" borderId="37" xfId="0" applyFont="1" applyBorder="1"/>
    <xf numFmtId="0" fontId="32" fillId="0" borderId="17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/>
    </xf>
    <xf numFmtId="0" fontId="7" fillId="0" borderId="40" xfId="0" applyFont="1" applyBorder="1" applyAlignment="1">
      <alignment horizontal="right" vertical="center"/>
    </xf>
    <xf numFmtId="0" fontId="5" fillId="0" borderId="23" xfId="0" applyFont="1" applyBorder="1"/>
    <xf numFmtId="0" fontId="39" fillId="0" borderId="11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right" vertical="center"/>
    </xf>
    <xf numFmtId="0" fontId="5" fillId="0" borderId="3" xfId="0" applyFont="1" applyBorder="1"/>
    <xf numFmtId="0" fontId="6" fillId="0" borderId="1" xfId="0" applyFont="1" applyBorder="1" applyAlignment="1">
      <alignment vertical="center"/>
    </xf>
    <xf numFmtId="0" fontId="5" fillId="0" borderId="2" xfId="0" applyFont="1" applyBorder="1"/>
    <xf numFmtId="0" fontId="6" fillId="0" borderId="29" xfId="0" applyFont="1" applyBorder="1" applyAlignment="1">
      <alignment vertical="center"/>
    </xf>
    <xf numFmtId="0" fontId="5" fillId="0" borderId="26" xfId="0" applyFont="1" applyBorder="1"/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9" fillId="0" borderId="45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37" fillId="0" borderId="5" xfId="0" applyFont="1" applyBorder="1" applyAlignment="1">
      <alignment horizontal="right" vertical="center"/>
    </xf>
    <xf numFmtId="0" fontId="21" fillId="0" borderId="0" xfId="0" applyFont="1" applyAlignment="1">
      <alignment horizontal="left" wrapText="1"/>
    </xf>
    <xf numFmtId="0" fontId="34" fillId="0" borderId="35" xfId="0" applyFont="1" applyBorder="1" applyAlignment="1">
      <alignment horizontal="left" wrapText="1"/>
    </xf>
    <xf numFmtId="0" fontId="12" fillId="0" borderId="4" xfId="0" applyFont="1" applyBorder="1" applyAlignment="1">
      <alignment horizontal="left" vertical="center" wrapText="1"/>
    </xf>
    <xf numFmtId="0" fontId="1" fillId="0" borderId="0" xfId="0" applyFont="1"/>
    <xf numFmtId="14" fontId="7" fillId="0" borderId="6" xfId="0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EA73.F3F6FB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66675</xdr:rowOff>
    </xdr:from>
    <xdr:to>
      <xdr:col>1</xdr:col>
      <xdr:colOff>333587</xdr:colOff>
      <xdr:row>0</xdr:row>
      <xdr:rowOff>619125</xdr:rowOff>
    </xdr:to>
    <xdr:pic>
      <xdr:nvPicPr>
        <xdr:cNvPr id="2" name="x_x_x_x_x_x_x_x_x_x_x__x0000_i1040">
          <a:extLst>
            <a:ext uri="{FF2B5EF4-FFF2-40B4-BE49-F238E27FC236}">
              <a16:creationId xmlns:a16="http://schemas.microsoft.com/office/drawing/2014/main" id="{8FD9333D-AE0B-8D2A-2893-A39A2497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6675"/>
          <a:ext cx="1133687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view="pageLayout" zoomScaleNormal="100" workbookViewId="0">
      <selection activeCell="C16" sqref="C16"/>
    </sheetView>
  </sheetViews>
  <sheetFormatPr defaultColWidth="14.44140625" defaultRowHeight="15" customHeight="1"/>
  <cols>
    <col min="1" max="1" width="14" customWidth="1"/>
    <col min="2" max="2" width="10.6640625" customWidth="1"/>
    <col min="3" max="3" width="40" customWidth="1"/>
    <col min="4" max="4" width="11" customWidth="1"/>
    <col min="5" max="5" width="16" customWidth="1"/>
    <col min="6" max="6" width="19" customWidth="1"/>
    <col min="7" max="7" width="27.5546875" customWidth="1"/>
    <col min="8" max="8" width="11.44140625" customWidth="1"/>
    <col min="9" max="26" width="8.6640625" customWidth="1"/>
  </cols>
  <sheetData>
    <row r="1" spans="1:26" ht="57.75" customHeight="1"/>
    <row r="2" spans="1:26" ht="43.5" customHeight="1">
      <c r="A2" s="117" t="s">
        <v>0</v>
      </c>
      <c r="B2" s="117"/>
      <c r="C2" s="117"/>
      <c r="D2" s="72"/>
      <c r="E2" s="37" t="s">
        <v>1</v>
      </c>
      <c r="F2" s="114" t="s">
        <v>265</v>
      </c>
      <c r="G2" s="11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>
      <c r="A3" s="133" t="s">
        <v>2</v>
      </c>
      <c r="B3" s="133"/>
      <c r="C3" s="133"/>
      <c r="D3" s="73"/>
      <c r="E3" s="2"/>
      <c r="F3" s="116" t="s">
        <v>3</v>
      </c>
      <c r="G3" s="116"/>
      <c r="H3" s="3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111" t="s">
        <v>4</v>
      </c>
      <c r="B4" s="104"/>
      <c r="C4" s="66" t="s">
        <v>267</v>
      </c>
      <c r="D4" s="103" t="s">
        <v>5</v>
      </c>
      <c r="E4" s="104"/>
      <c r="F4" s="112" t="s">
        <v>266</v>
      </c>
      <c r="G4" s="106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75" customHeight="1">
      <c r="A5" s="111" t="s">
        <v>6</v>
      </c>
      <c r="B5" s="104"/>
      <c r="C5" s="67" t="s">
        <v>268</v>
      </c>
      <c r="D5" s="103" t="s">
        <v>7</v>
      </c>
      <c r="E5" s="104"/>
      <c r="F5" s="113">
        <v>46204</v>
      </c>
      <c r="G5" s="106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>
      <c r="A6" s="126" t="s">
        <v>8</v>
      </c>
      <c r="B6" s="104" t="s">
        <v>8</v>
      </c>
      <c r="C6" s="67" t="s">
        <v>176</v>
      </c>
      <c r="D6" s="103" t="s">
        <v>9</v>
      </c>
      <c r="E6" s="104"/>
      <c r="F6" s="105"/>
      <c r="G6" s="106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75" customHeight="1">
      <c r="A7" s="127" t="s">
        <v>10</v>
      </c>
      <c r="B7" s="104" t="s">
        <v>10</v>
      </c>
      <c r="C7" s="135">
        <v>1803</v>
      </c>
      <c r="D7" s="103" t="s">
        <v>11</v>
      </c>
      <c r="E7" s="104"/>
      <c r="F7" s="107"/>
      <c r="G7" s="108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11" t="s">
        <v>12</v>
      </c>
      <c r="B8" s="104"/>
      <c r="C8" s="67" t="s">
        <v>269</v>
      </c>
      <c r="D8" s="132" t="s">
        <v>13</v>
      </c>
      <c r="E8" s="127"/>
      <c r="F8" s="128"/>
      <c r="G8" s="129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1" t="s">
        <v>14</v>
      </c>
      <c r="B9" s="104"/>
      <c r="C9" s="136" t="s">
        <v>271</v>
      </c>
      <c r="D9" s="132"/>
      <c r="E9" s="127"/>
      <c r="F9" s="130"/>
      <c r="G9" s="131"/>
      <c r="H9" s="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7.5" customHeight="1">
      <c r="A10" s="111" t="s">
        <v>15</v>
      </c>
      <c r="B10" s="124"/>
      <c r="C10" s="68" t="s">
        <v>270</v>
      </c>
      <c r="D10" s="103" t="s">
        <v>16</v>
      </c>
      <c r="E10" s="123"/>
      <c r="F10" s="109" t="s">
        <v>17</v>
      </c>
      <c r="G10" s="110"/>
      <c r="H10" s="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thickBot="1">
      <c r="A11" s="5"/>
      <c r="B11" s="5"/>
      <c r="C11" s="6"/>
      <c r="D11" s="1"/>
      <c r="E11" s="93"/>
      <c r="F11" s="94"/>
      <c r="G11" s="9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.75" customHeight="1" thickBot="1">
      <c r="A12" s="70" t="s">
        <v>18</v>
      </c>
      <c r="B12" s="71" t="s">
        <v>19</v>
      </c>
      <c r="C12" s="70" t="s">
        <v>20</v>
      </c>
      <c r="D12" s="70" t="s">
        <v>21</v>
      </c>
      <c r="E12" s="70" t="s">
        <v>22</v>
      </c>
      <c r="F12" s="70" t="s">
        <v>23</v>
      </c>
      <c r="G12" s="70" t="s">
        <v>24</v>
      </c>
      <c r="H12" s="70" t="s">
        <v>25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6.75" customHeight="1">
      <c r="A13" s="67"/>
      <c r="B13" s="67"/>
      <c r="C13" s="79" t="s">
        <v>272</v>
      </c>
      <c r="D13" s="81">
        <v>5498</v>
      </c>
      <c r="E13" s="24">
        <v>1</v>
      </c>
      <c r="F13" s="25">
        <f>E13*D13</f>
        <v>5498</v>
      </c>
      <c r="G13" s="26" t="s">
        <v>48</v>
      </c>
      <c r="H13" s="2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5" customHeight="1">
      <c r="A14" s="67"/>
      <c r="B14" s="67"/>
      <c r="C14" s="80" t="s">
        <v>273</v>
      </c>
      <c r="D14" s="82">
        <v>3498</v>
      </c>
      <c r="E14" s="19">
        <v>1</v>
      </c>
      <c r="F14" s="8">
        <f t="shared" ref="F14:F15" si="0">D14*E14</f>
        <v>3498</v>
      </c>
      <c r="G14" s="26" t="s">
        <v>48</v>
      </c>
      <c r="H14" s="7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67"/>
      <c r="B15" s="67"/>
      <c r="C15" s="21" t="s">
        <v>274</v>
      </c>
      <c r="D15" s="48">
        <v>1498</v>
      </c>
      <c r="E15" s="19">
        <v>1</v>
      </c>
      <c r="F15" s="8">
        <f t="shared" si="0"/>
        <v>1498</v>
      </c>
      <c r="G15" s="26" t="s">
        <v>48</v>
      </c>
      <c r="H15" s="7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28"/>
      <c r="B16" s="23"/>
      <c r="C16" s="21" t="s">
        <v>275</v>
      </c>
      <c r="D16" s="48">
        <v>998</v>
      </c>
      <c r="E16" s="19">
        <v>1</v>
      </c>
      <c r="F16" s="8">
        <f t="shared" ref="F16:F29" si="1">D16*E16</f>
        <v>998</v>
      </c>
      <c r="G16" s="26" t="s">
        <v>48</v>
      </c>
      <c r="H16" s="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28"/>
      <c r="B17" s="23"/>
      <c r="C17" s="21"/>
      <c r="D17" s="48"/>
      <c r="E17" s="19"/>
      <c r="F17" s="8">
        <f t="shared" si="1"/>
        <v>0</v>
      </c>
      <c r="G17" s="22"/>
      <c r="H17" s="2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28"/>
      <c r="B18" s="23"/>
      <c r="C18" s="21"/>
      <c r="D18" s="48"/>
      <c r="E18" s="19"/>
      <c r="F18" s="8">
        <f t="shared" si="1"/>
        <v>0</v>
      </c>
      <c r="G18" s="22"/>
      <c r="H18" s="2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28"/>
      <c r="B19" s="23"/>
      <c r="C19" s="21"/>
      <c r="D19" s="48"/>
      <c r="E19" s="19"/>
      <c r="F19" s="8">
        <f t="shared" si="1"/>
        <v>0</v>
      </c>
      <c r="G19" s="22"/>
      <c r="H19" s="2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28"/>
      <c r="B20" s="23"/>
      <c r="C20" s="21"/>
      <c r="D20" s="48"/>
      <c r="E20" s="19"/>
      <c r="F20" s="8">
        <f t="shared" si="1"/>
        <v>0</v>
      </c>
      <c r="G20" s="22"/>
      <c r="H20" s="2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28"/>
      <c r="B21" s="23"/>
      <c r="C21" s="21"/>
      <c r="D21" s="48"/>
      <c r="E21" s="19"/>
      <c r="F21" s="8">
        <f t="shared" si="1"/>
        <v>0</v>
      </c>
      <c r="G21" s="22"/>
      <c r="H21" s="2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28"/>
      <c r="B22" s="23"/>
      <c r="C22" s="21"/>
      <c r="D22" s="48"/>
      <c r="E22" s="19"/>
      <c r="F22" s="8">
        <f t="shared" si="1"/>
        <v>0</v>
      </c>
      <c r="G22" s="22"/>
      <c r="H22" s="2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28"/>
      <c r="B23" s="23"/>
      <c r="C23" s="21"/>
      <c r="D23" s="48"/>
      <c r="E23" s="19"/>
      <c r="F23" s="8">
        <f t="shared" si="1"/>
        <v>0</v>
      </c>
      <c r="G23" s="22"/>
      <c r="H23" s="2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28"/>
      <c r="B24" s="23"/>
      <c r="C24" s="21"/>
      <c r="D24" s="48"/>
      <c r="E24" s="19"/>
      <c r="F24" s="8">
        <f t="shared" si="1"/>
        <v>0</v>
      </c>
      <c r="G24" s="22"/>
      <c r="H24" s="2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28"/>
      <c r="B25" s="23"/>
      <c r="C25" s="21"/>
      <c r="D25" s="48"/>
      <c r="E25" s="19"/>
      <c r="F25" s="8">
        <f t="shared" si="1"/>
        <v>0</v>
      </c>
      <c r="G25" s="22"/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28"/>
      <c r="B26" s="23"/>
      <c r="C26" s="21"/>
      <c r="D26" s="48"/>
      <c r="E26" s="19"/>
      <c r="F26" s="8">
        <f t="shared" si="1"/>
        <v>0</v>
      </c>
      <c r="G26" s="22"/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8"/>
      <c r="B27" s="23"/>
      <c r="C27" s="21"/>
      <c r="D27" s="48"/>
      <c r="E27" s="19"/>
      <c r="F27" s="8">
        <f t="shared" si="1"/>
        <v>0</v>
      </c>
      <c r="G27" s="22"/>
      <c r="H27" s="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8"/>
      <c r="B28" s="23"/>
      <c r="C28" s="21"/>
      <c r="D28" s="48"/>
      <c r="E28" s="19"/>
      <c r="F28" s="8">
        <f t="shared" si="1"/>
        <v>0</v>
      </c>
      <c r="G28" s="22"/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thickBot="1">
      <c r="A29" s="30"/>
      <c r="B29" s="31"/>
      <c r="C29" s="32"/>
      <c r="D29" s="49"/>
      <c r="E29" s="33"/>
      <c r="F29" s="34">
        <f t="shared" si="1"/>
        <v>0</v>
      </c>
      <c r="G29" s="35"/>
      <c r="H29" s="3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1"/>
      <c r="C30" s="1"/>
      <c r="D30" s="95" t="s">
        <v>26</v>
      </c>
      <c r="E30" s="96"/>
      <c r="F30" s="51">
        <f>SUM(F13:F29)</f>
        <v>11492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thickBot="1">
      <c r="A31" s="9" t="s">
        <v>27</v>
      </c>
      <c r="B31" s="9"/>
      <c r="C31" s="9"/>
      <c r="D31" s="99" t="s">
        <v>28</v>
      </c>
      <c r="E31" s="100"/>
      <c r="F31" s="69" t="s">
        <v>29</v>
      </c>
      <c r="G31" s="121" t="s">
        <v>30</v>
      </c>
      <c r="H31" s="122"/>
      <c r="U31" s="1"/>
      <c r="V31" s="1"/>
      <c r="W31" s="1"/>
      <c r="X31" s="1"/>
      <c r="Y31" s="1"/>
      <c r="Z31" s="1"/>
    </row>
    <row r="32" spans="1:26" ht="39" customHeight="1" thickBot="1">
      <c r="A32" s="88" t="s">
        <v>31</v>
      </c>
      <c r="B32" s="89"/>
      <c r="C32" s="90"/>
      <c r="D32" s="87"/>
      <c r="E32" s="87"/>
      <c r="F32" s="87"/>
      <c r="G32" s="101" t="s">
        <v>32</v>
      </c>
      <c r="H32" s="102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1"/>
      <c r="T32" s="1"/>
      <c r="U32" s="1"/>
      <c r="V32" s="1"/>
      <c r="W32" s="1"/>
      <c r="X32" s="1"/>
      <c r="Y32" s="1"/>
      <c r="Z32" s="1"/>
    </row>
    <row r="33" spans="1:26" ht="21" customHeight="1" thickBot="1">
      <c r="A33" s="1" t="s">
        <v>33</v>
      </c>
      <c r="B33" s="1"/>
      <c r="C33" s="1"/>
      <c r="D33" s="97" t="s">
        <v>34</v>
      </c>
      <c r="E33" s="98"/>
      <c r="F33" s="54" t="e">
        <f>VLOOKUP(C6,'Sales Tax by State'!C:D,2,FALSE)</f>
        <v>#N/A</v>
      </c>
      <c r="G33" s="102" t="s">
        <v>35</v>
      </c>
      <c r="H33" s="102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1"/>
      <c r="T33" s="1"/>
      <c r="U33" s="1"/>
      <c r="V33" s="1"/>
      <c r="W33" s="1"/>
      <c r="X33" s="1"/>
      <c r="Y33" s="1"/>
      <c r="Z33" s="1"/>
    </row>
    <row r="34" spans="1:26" ht="42" customHeight="1" thickBot="1">
      <c r="A34" s="13" t="s">
        <v>36</v>
      </c>
      <c r="B34" s="1"/>
      <c r="C34" s="1"/>
      <c r="D34" s="52"/>
      <c r="E34" s="53"/>
      <c r="F34" s="50"/>
      <c r="G34" s="102"/>
      <c r="H34" s="10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customHeight="1" thickBot="1">
      <c r="A35" s="1"/>
      <c r="B35" s="1"/>
      <c r="C35" s="1"/>
      <c r="D35" s="91" t="s">
        <v>37</v>
      </c>
      <c r="E35" s="92"/>
      <c r="F35" s="55">
        <f>IF(F31="1=YES",F30*F33)+F30</f>
        <v>11492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3"/>
      <c r="B36" s="1"/>
      <c r="C36" s="1"/>
      <c r="D36" s="1"/>
      <c r="E36" s="4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>
      <c r="A37" s="83" t="s">
        <v>38</v>
      </c>
      <c r="B37" s="84"/>
      <c r="C37" s="11" t="s">
        <v>266</v>
      </c>
      <c r="F37" s="74" t="s">
        <v>7</v>
      </c>
      <c r="G37" s="137">
        <v>46204</v>
      </c>
      <c r="H37" s="8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8.5" customHeight="1">
      <c r="A38" s="83" t="s">
        <v>39</v>
      </c>
      <c r="B38" s="84"/>
      <c r="C38" s="11"/>
      <c r="F38" s="74" t="s">
        <v>7</v>
      </c>
      <c r="G38" s="86"/>
      <c r="H38" s="86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8.5" customHeight="1">
      <c r="A39" s="125"/>
      <c r="B39" s="125"/>
      <c r="C39" s="125"/>
      <c r="D39" s="125"/>
      <c r="E39" s="125"/>
      <c r="F39" s="125"/>
      <c r="G39" s="125"/>
      <c r="H39" s="12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9" customHeight="1" thickBot="1">
      <c r="A40" s="118" t="s">
        <v>40</v>
      </c>
      <c r="B40" s="119"/>
      <c r="C40" s="119"/>
      <c r="D40" s="119"/>
      <c r="E40" s="119"/>
      <c r="F40" s="119"/>
      <c r="G40" s="119"/>
      <c r="H40" s="12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customSheetViews>
    <customSheetView guid="{18573B57-776C-491C-924F-2D0E1E6F1642}" showPageBreaks="1" fitToPage="1">
      <selection activeCell="G1" sqref="G1:H1"/>
      <pageMargins left="0" right="0" top="0" bottom="0" header="0" footer="0"/>
      <pageSetup scale="63" orientation="landscape" r:id="rId1"/>
      <headerFooter>
        <oddFooter>&amp;LFM-0009 &amp;KFF0000Rev &amp;"Calibri (Body),Regular"I&amp;"-,Regular" DCO-&amp;"Calibri (Body),Regular"0685&amp;"-,Regular"&amp;K01+000
Released: &amp;CRevisions of printed documents must be verified prior to use.
 CONFIDENTIAL – For Internal Use Only</oddFooter>
      </headerFooter>
    </customSheetView>
    <customSheetView guid="{BB88A8E0-C71B-497A-951D-3562D09F419F}" showPageBreaks="1" fitToPage="1" view="pageLayout" topLeftCell="A16">
      <selection activeCell="C32" sqref="C32"/>
      <pageMargins left="0" right="0" top="0" bottom="0" header="0" footer="0"/>
      <pageSetup scale="74" orientation="portrait" r:id="rId2"/>
      <headerFooter>
        <oddFooter>&amp;LFM-0009 Rev &amp;"Calibri (Body),Regular"G&amp;"-,Regular" DCO-&amp;"Calibri (Body),Regular"0349&amp;"-,Regular"
Released: 10/18/2023&amp;CRevisions of printed documents must be verified prior to use.
 CONFIDENTIAL – For Internal Use Only</oddFooter>
      </headerFooter>
    </customSheetView>
    <customSheetView guid="{00160FCA-1959-406D-BEC6-532080CC4EA1}" showPageBreaks="1" fitToPage="1" view="pageLayout">
      <selection activeCell="C41" sqref="C41"/>
      <pageMargins left="0" right="0" top="0" bottom="0" header="0" footer="0"/>
      <pageSetup scale="74" orientation="portrait" r:id="rId3"/>
      <headerFooter>
        <oddFooter>&amp;LFM-0009 Rev I&amp;"+,Regular"&amp;K000000 DCO-0685&amp;"-,Regular"&amp;K01+000
Released: 01/27/2025&amp;CRevisions of printed documents must be verified prior to use.
 CONFIDENTIAL – For Internal Use Only</oddFooter>
      </headerFooter>
    </customSheetView>
    <customSheetView guid="{6380A144-568E-A444-AD29-13D143E15DA1}" showPageBreaks="1" fitToPage="1" view="pageLayout">
      <selection activeCell="C5" sqref="C5"/>
      <pageMargins left="0" right="0" top="0" bottom="0" header="0" footer="0"/>
      <pageSetup scale="69" orientation="portrait" r:id="rId4"/>
      <headerFooter>
        <oddFooter>&amp;LFM-0009 Rev &amp;"Calibri (Body),Regular"I&amp;"-,Regular" DCO-&amp;"Calibri (Body),Regular"0685&amp;"-,Regular"
Released: 01/27/2025&amp;CRevisions of printed documents must be verified prior to use.
 CONFIDENTIAL – For Internal Use Only</oddFooter>
      </headerFooter>
    </customSheetView>
  </customSheetViews>
  <mergeCells count="39">
    <mergeCell ref="F2:G2"/>
    <mergeCell ref="F3:G3"/>
    <mergeCell ref="A2:C2"/>
    <mergeCell ref="A40:H40"/>
    <mergeCell ref="G31:H31"/>
    <mergeCell ref="D10:E10"/>
    <mergeCell ref="A10:B10"/>
    <mergeCell ref="A39:H39"/>
    <mergeCell ref="A6:B6"/>
    <mergeCell ref="A7:B7"/>
    <mergeCell ref="F8:G9"/>
    <mergeCell ref="D8:E9"/>
    <mergeCell ref="A5:B5"/>
    <mergeCell ref="A8:B8"/>
    <mergeCell ref="A9:B9"/>
    <mergeCell ref="A3:C3"/>
    <mergeCell ref="A4:B4"/>
    <mergeCell ref="F4:G4"/>
    <mergeCell ref="F5:G5"/>
    <mergeCell ref="D4:E4"/>
    <mergeCell ref="D5:E5"/>
    <mergeCell ref="D6:E6"/>
    <mergeCell ref="F6:G6"/>
    <mergeCell ref="D7:E7"/>
    <mergeCell ref="F7:G7"/>
    <mergeCell ref="F10:G10"/>
    <mergeCell ref="E11:G11"/>
    <mergeCell ref="D30:E30"/>
    <mergeCell ref="D33:E33"/>
    <mergeCell ref="D31:E31"/>
    <mergeCell ref="G32:H32"/>
    <mergeCell ref="G33:H34"/>
    <mergeCell ref="A37:B37"/>
    <mergeCell ref="G37:H37"/>
    <mergeCell ref="A38:B38"/>
    <mergeCell ref="G38:H38"/>
    <mergeCell ref="D32:F32"/>
    <mergeCell ref="A32:C32"/>
    <mergeCell ref="D35:E35"/>
  </mergeCells>
  <dataValidations count="2">
    <dataValidation type="list" allowBlank="1" showInputMessage="1" showErrorMessage="1" prompt="Select from the List_x000a_" sqref="H14:H15" xr:uid="{316F97D0-B0A8-4A80-AD09-6C56EADAB822}">
      <formula1>#REF!</formula1>
    </dataValidation>
    <dataValidation type="list" allowBlank="1" showErrorMessage="1" sqref="F31 F34" xr:uid="{00000000-0002-0000-0000-000000000000}">
      <formula1>"0=NO, 1=YES"</formula1>
    </dataValidation>
  </dataValidations>
  <pageMargins left="0.7" right="0.7" top="0.75" bottom="0.75" header="0" footer="0"/>
  <pageSetup scale="60" orientation="portrait" r:id="rId5"/>
  <headerFooter>
    <oddFooter>&amp;LFM-0009 Rev &amp;"+,Regular"J &amp;"-,Regular"DCO-0885
Released: 08/11/2025&amp;CRevisions of printed documents must be verified prior to use.
 CONFIDENTIAL – For Internal Use Only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from the List_x000a_" xr:uid="{00000000-0002-0000-0000-000002000000}">
          <x14:formula1>
            <xm:f>'Acct Code_Dept'!$C$3:$C$13</xm:f>
          </x14:formula1>
          <xm:sqref>H16:H29</xm:sqref>
        </x14:dataValidation>
        <x14:dataValidation type="list" allowBlank="1" showInputMessage="1" showErrorMessage="1" prompt="Select from the List_x000a_" xr:uid="{460EFD44-7642-4449-BA8A-67FC18502F4B}">
          <x14:formula1>
            <xm:f>'Acct Code_Dept'!$C$3:$C$14</xm:f>
          </x14:formula1>
          <xm:sqref>H13</xm:sqref>
        </x14:dataValidation>
        <x14:dataValidation type="list" allowBlank="1" showInputMessage="1" showErrorMessage="1" prompt="Select from the list" xr:uid="{00000000-0002-0000-0000-000001000000}">
          <x14:formula1>
            <xm:f>'Acct Code_Dept'!$A$3:$A$55</xm:f>
          </x14:formula1>
          <xm:sqref>G13:G29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FF27-E7FC-4755-93FE-28F447BFB767}">
  <dimension ref="A1:D62"/>
  <sheetViews>
    <sheetView workbookViewId="0">
      <selection activeCell="A11" sqref="A11"/>
    </sheetView>
  </sheetViews>
  <sheetFormatPr defaultColWidth="8.6640625" defaultRowHeight="15.75" customHeight="1"/>
  <cols>
    <col min="1" max="1" width="44.44140625" style="14" customWidth="1"/>
    <col min="2" max="2" width="54.33203125" style="14" customWidth="1"/>
    <col min="3" max="3" width="28.44140625" style="14" customWidth="1"/>
    <col min="4" max="4" width="17.5546875" style="14" bestFit="1" customWidth="1"/>
    <col min="5" max="16384" width="8.6640625" style="14"/>
  </cols>
  <sheetData>
    <row r="1" spans="1:4" ht="12" customHeight="1" thickBot="1">
      <c r="A1" s="76"/>
      <c r="B1" s="76"/>
      <c r="C1" s="76"/>
      <c r="D1" s="76"/>
    </row>
    <row r="2" spans="1:4" ht="21.75" customHeight="1" thickBot="1">
      <c r="A2" s="65" t="s">
        <v>41</v>
      </c>
      <c r="B2" s="16"/>
      <c r="C2" s="65" t="s">
        <v>42</v>
      </c>
      <c r="D2" s="76"/>
    </row>
    <row r="3" spans="1:4" ht="16.5" customHeight="1">
      <c r="A3" s="45" t="s">
        <v>43</v>
      </c>
      <c r="B3" s="134" t="s">
        <v>44</v>
      </c>
      <c r="C3" s="41" t="s">
        <v>45</v>
      </c>
      <c r="D3" s="76"/>
    </row>
    <row r="4" spans="1:4" ht="15.75" customHeight="1">
      <c r="A4" s="45" t="s">
        <v>46</v>
      </c>
      <c r="B4" s="134"/>
      <c r="C4" s="42" t="s">
        <v>47</v>
      </c>
      <c r="D4" s="76"/>
    </row>
    <row r="5" spans="1:4" ht="15.75" customHeight="1">
      <c r="A5" s="45" t="s">
        <v>48</v>
      </c>
      <c r="B5" s="17"/>
      <c r="C5" s="42" t="s">
        <v>49</v>
      </c>
      <c r="D5" s="76"/>
    </row>
    <row r="6" spans="1:4" ht="15.75" customHeight="1">
      <c r="A6" s="45" t="s">
        <v>50</v>
      </c>
      <c r="B6" s="17"/>
      <c r="C6" s="42" t="s">
        <v>51</v>
      </c>
      <c r="D6" s="76"/>
    </row>
    <row r="7" spans="1:4" ht="15.75" customHeight="1">
      <c r="A7" s="45" t="s">
        <v>52</v>
      </c>
      <c r="B7" s="17"/>
      <c r="C7" s="78" t="s">
        <v>53</v>
      </c>
      <c r="D7" s="76"/>
    </row>
    <row r="8" spans="1:4" ht="15.75" customHeight="1">
      <c r="A8" s="45" t="s">
        <v>54</v>
      </c>
      <c r="B8" s="17"/>
      <c r="C8" s="78" t="s">
        <v>55</v>
      </c>
      <c r="D8" s="76"/>
    </row>
    <row r="9" spans="1:4" ht="15.75" customHeight="1">
      <c r="A9" s="45" t="s">
        <v>56</v>
      </c>
      <c r="B9" s="17"/>
      <c r="C9" s="78" t="s">
        <v>57</v>
      </c>
      <c r="D9" s="76"/>
    </row>
    <row r="10" spans="1:4" ht="15.75" customHeight="1">
      <c r="A10" s="45" t="s">
        <v>58</v>
      </c>
      <c r="B10" s="17"/>
      <c r="C10" s="40" t="s">
        <v>59</v>
      </c>
      <c r="D10" s="76"/>
    </row>
    <row r="11" spans="1:4" ht="15.75" customHeight="1">
      <c r="A11" s="45" t="s">
        <v>60</v>
      </c>
      <c r="B11" s="20"/>
      <c r="C11" s="43" t="s">
        <v>61</v>
      </c>
      <c r="D11" s="76"/>
    </row>
    <row r="12" spans="1:4" ht="15.75" customHeight="1">
      <c r="A12" s="45" t="s">
        <v>62</v>
      </c>
      <c r="B12" s="20"/>
      <c r="C12" s="42" t="s">
        <v>63</v>
      </c>
      <c r="D12" s="76"/>
    </row>
    <row r="13" spans="1:4" ht="15.75" customHeight="1">
      <c r="A13" s="46" t="s">
        <v>64</v>
      </c>
      <c r="B13" s="38"/>
      <c r="C13" s="42" t="s">
        <v>65</v>
      </c>
      <c r="D13" s="76"/>
    </row>
    <row r="14" spans="1:4" ht="15.75" customHeight="1" thickBot="1">
      <c r="A14" s="45" t="s">
        <v>66</v>
      </c>
      <c r="B14" s="20"/>
      <c r="C14" s="44" t="s">
        <v>67</v>
      </c>
      <c r="D14" s="38"/>
    </row>
    <row r="15" spans="1:4" ht="15.75" customHeight="1">
      <c r="A15" s="45" t="s">
        <v>68</v>
      </c>
      <c r="B15" s="20"/>
      <c r="C15" s="76"/>
      <c r="D15" s="76"/>
    </row>
    <row r="16" spans="1:4" ht="15.75" customHeight="1">
      <c r="A16" s="45" t="s">
        <v>69</v>
      </c>
      <c r="B16" s="20"/>
      <c r="C16" s="76"/>
      <c r="D16" s="76"/>
    </row>
    <row r="17" spans="1:3" ht="15.75" customHeight="1">
      <c r="A17" s="45" t="s">
        <v>70</v>
      </c>
      <c r="B17" s="17"/>
      <c r="C17" s="76"/>
    </row>
    <row r="18" spans="1:3" ht="15.75" customHeight="1">
      <c r="A18" s="45" t="s">
        <v>71</v>
      </c>
      <c r="B18" s="17"/>
      <c r="C18" s="76"/>
    </row>
    <row r="19" spans="1:3" ht="15.75" customHeight="1">
      <c r="A19" s="45" t="s">
        <v>72</v>
      </c>
      <c r="B19" s="17"/>
      <c r="C19" s="76"/>
    </row>
    <row r="20" spans="1:3" ht="15.75" customHeight="1">
      <c r="A20" s="45" t="s">
        <v>73</v>
      </c>
      <c r="B20" s="17"/>
      <c r="C20" s="76"/>
    </row>
    <row r="21" spans="1:3" ht="15.75" customHeight="1">
      <c r="A21" s="45" t="s">
        <v>74</v>
      </c>
      <c r="B21" s="17"/>
      <c r="C21" s="76"/>
    </row>
    <row r="22" spans="1:3" ht="15.75" customHeight="1">
      <c r="A22" s="45" t="s">
        <v>75</v>
      </c>
      <c r="B22" s="17"/>
      <c r="C22" s="76"/>
    </row>
    <row r="23" spans="1:3" ht="15.75" customHeight="1">
      <c r="A23" s="45" t="s">
        <v>76</v>
      </c>
      <c r="B23" s="17"/>
      <c r="C23" s="76"/>
    </row>
    <row r="24" spans="1:3" ht="15.75" customHeight="1">
      <c r="A24" s="45" t="s">
        <v>77</v>
      </c>
      <c r="B24" s="17"/>
      <c r="C24" s="76"/>
    </row>
    <row r="25" spans="1:3" ht="15.75" customHeight="1">
      <c r="A25" s="46" t="s">
        <v>78</v>
      </c>
      <c r="B25" s="38"/>
      <c r="C25" s="76"/>
    </row>
    <row r="26" spans="1:3" ht="15.75" customHeight="1">
      <c r="A26" s="45" t="s">
        <v>79</v>
      </c>
      <c r="B26" s="17"/>
      <c r="C26" s="76"/>
    </row>
    <row r="27" spans="1:3" ht="15.75" customHeight="1">
      <c r="A27" s="45" t="s">
        <v>80</v>
      </c>
      <c r="B27" s="17"/>
      <c r="C27" s="76"/>
    </row>
    <row r="28" spans="1:3" ht="15.75" customHeight="1">
      <c r="A28" s="45" t="s">
        <v>81</v>
      </c>
      <c r="B28" s="17"/>
      <c r="C28" s="76"/>
    </row>
    <row r="29" spans="1:3" ht="15.75" customHeight="1">
      <c r="A29" s="45" t="s">
        <v>82</v>
      </c>
      <c r="B29" s="17"/>
      <c r="C29" s="76"/>
    </row>
    <row r="30" spans="1:3" ht="15.75" customHeight="1">
      <c r="A30" s="45" t="s">
        <v>83</v>
      </c>
      <c r="B30" s="38"/>
      <c r="C30" s="76"/>
    </row>
    <row r="31" spans="1:3" ht="15.75" customHeight="1">
      <c r="A31" s="45" t="s">
        <v>84</v>
      </c>
      <c r="B31" s="38"/>
      <c r="C31" s="76"/>
    </row>
    <row r="32" spans="1:3" ht="15.75" customHeight="1">
      <c r="A32" s="45" t="s">
        <v>85</v>
      </c>
      <c r="B32" s="38"/>
      <c r="C32" s="76"/>
    </row>
    <row r="33" spans="1:2" ht="15.75" customHeight="1">
      <c r="A33" s="45" t="s">
        <v>86</v>
      </c>
      <c r="B33" s="38"/>
    </row>
    <row r="34" spans="1:2" ht="15.75" customHeight="1">
      <c r="A34" s="45" t="s">
        <v>87</v>
      </c>
      <c r="B34" s="38"/>
    </row>
    <row r="35" spans="1:2" ht="15.75" customHeight="1">
      <c r="A35" s="45" t="s">
        <v>88</v>
      </c>
      <c r="B35" s="38"/>
    </row>
    <row r="36" spans="1:2" ht="15.75" customHeight="1">
      <c r="A36" s="45" t="s">
        <v>89</v>
      </c>
      <c r="B36" s="38"/>
    </row>
    <row r="37" spans="1:2" ht="15.75" customHeight="1">
      <c r="A37" s="45" t="s">
        <v>90</v>
      </c>
      <c r="B37" s="38"/>
    </row>
    <row r="38" spans="1:2" ht="15.75" customHeight="1">
      <c r="A38" s="45" t="s">
        <v>91</v>
      </c>
      <c r="B38" s="38"/>
    </row>
    <row r="39" spans="1:2" ht="15.75" customHeight="1">
      <c r="A39" s="45" t="s">
        <v>92</v>
      </c>
      <c r="B39" s="38"/>
    </row>
    <row r="40" spans="1:2" ht="15.75" customHeight="1">
      <c r="A40" s="45" t="s">
        <v>93</v>
      </c>
      <c r="B40" s="38"/>
    </row>
    <row r="41" spans="1:2" ht="15.75" customHeight="1">
      <c r="A41" s="45" t="s">
        <v>94</v>
      </c>
      <c r="B41" s="17"/>
    </row>
    <row r="42" spans="1:2" ht="15.75" customHeight="1">
      <c r="A42" s="45" t="s">
        <v>95</v>
      </c>
      <c r="B42" s="17"/>
    </row>
    <row r="43" spans="1:2" ht="15.75" customHeight="1">
      <c r="A43" s="45" t="s">
        <v>96</v>
      </c>
      <c r="B43" s="17"/>
    </row>
    <row r="44" spans="1:2" ht="15.75" customHeight="1">
      <c r="A44" s="45" t="s">
        <v>97</v>
      </c>
      <c r="B44" s="17"/>
    </row>
    <row r="45" spans="1:2" ht="15.75" customHeight="1">
      <c r="A45" s="45" t="s">
        <v>98</v>
      </c>
      <c r="B45" s="17"/>
    </row>
    <row r="46" spans="1:2" ht="15.75" customHeight="1">
      <c r="A46" s="45" t="s">
        <v>99</v>
      </c>
      <c r="B46" s="17"/>
    </row>
    <row r="47" spans="1:2" ht="15.75" customHeight="1">
      <c r="A47" s="45" t="s">
        <v>100</v>
      </c>
      <c r="B47" s="17"/>
    </row>
    <row r="48" spans="1:2" ht="15.75" customHeight="1">
      <c r="A48" s="45" t="s">
        <v>101</v>
      </c>
      <c r="B48" s="17"/>
    </row>
    <row r="49" spans="1:2" ht="15.75" customHeight="1">
      <c r="A49" s="45" t="s">
        <v>102</v>
      </c>
      <c r="B49" s="17"/>
    </row>
    <row r="50" spans="1:2" ht="15.75" customHeight="1">
      <c r="A50" s="45" t="s">
        <v>103</v>
      </c>
      <c r="B50" s="17"/>
    </row>
    <row r="51" spans="1:2" ht="15.75" customHeight="1">
      <c r="A51" s="45" t="s">
        <v>104</v>
      </c>
      <c r="B51" s="17"/>
    </row>
    <row r="52" spans="1:2" ht="15.75" customHeight="1">
      <c r="A52" s="45" t="s">
        <v>105</v>
      </c>
      <c r="B52" s="17"/>
    </row>
    <row r="53" spans="1:2" ht="15.75" customHeight="1">
      <c r="A53" s="45" t="s">
        <v>106</v>
      </c>
      <c r="B53" s="17"/>
    </row>
    <row r="54" spans="1:2" ht="15.75" customHeight="1">
      <c r="A54" s="45" t="s">
        <v>107</v>
      </c>
      <c r="B54" s="17"/>
    </row>
    <row r="55" spans="1:2" ht="15.75" customHeight="1">
      <c r="A55" s="45" t="s">
        <v>108</v>
      </c>
      <c r="B55" s="17"/>
    </row>
    <row r="56" spans="1:2" ht="15.75" customHeight="1" thickBot="1">
      <c r="A56" s="47" t="s">
        <v>109</v>
      </c>
      <c r="B56" s="17"/>
    </row>
    <row r="57" spans="1:2" ht="15.75" customHeight="1">
      <c r="A57" s="76"/>
      <c r="B57" s="17"/>
    </row>
    <row r="58" spans="1:2" ht="15.75" customHeight="1">
      <c r="A58" s="76"/>
      <c r="B58" s="17"/>
    </row>
    <row r="59" spans="1:2" ht="15.75" customHeight="1">
      <c r="A59" s="76"/>
      <c r="B59" s="17"/>
    </row>
    <row r="60" spans="1:2" ht="15.75" customHeight="1">
      <c r="A60" s="76"/>
      <c r="B60" s="17"/>
    </row>
    <row r="61" spans="1:2" ht="15.75" customHeight="1">
      <c r="A61" s="76"/>
      <c r="B61" s="17"/>
    </row>
    <row r="62" spans="1:2" ht="15.75" customHeight="1">
      <c r="A62" s="18"/>
      <c r="B62" s="18"/>
    </row>
  </sheetData>
  <sheetProtection algorithmName="SHA-512" hashValue="anMhYEqCEZwRZ2n7pBtFjKH4LAaIW2JyoMTV6ovuteYNLifiOU3zP+Uyjc7/CCzkYdq43s8Da0WoEwWo0s3lcA==" saltValue="e83HNXuGIkmqRBYl9UooGA==" spinCount="100000" sheet="1" objects="1" scenarios="1"/>
  <sortState xmlns:xlrd2="http://schemas.microsoft.com/office/spreadsheetml/2017/richdata2" ref="A3:A61">
    <sortCondition ref="A3:A61"/>
  </sortState>
  <customSheetViews>
    <customSheetView guid="{18573B57-776C-491C-924F-2D0E1E6F1642}" topLeftCell="A54">
      <selection activeCell="E17" sqref="E17"/>
      <pageMargins left="0" right="0" top="0" bottom="0" header="0" footer="0"/>
      <pageSetup orientation="portrait" horizontalDpi="0" verticalDpi="0"/>
    </customSheetView>
    <customSheetView guid="{BB88A8E0-C71B-497A-951D-3562D09F419F}" topLeftCell="A46">
      <selection activeCell="B20" sqref="B20"/>
      <pageMargins left="0" right="0" top="0" bottom="0" header="0" footer="0"/>
      <pageSetup orientation="portrait" horizontalDpi="0" verticalDpi="0"/>
    </customSheetView>
    <customSheetView guid="{00160FCA-1959-406D-BEC6-532080CC4EA1}" showPageBreaks="1" fitToPage="1">
      <selection activeCell="C27" sqref="C27"/>
      <pageMargins left="0" right="0" top="0" bottom="0" header="0" footer="0"/>
      <pageSetup scale="65" orientation="portrait" r:id="rId1"/>
    </customSheetView>
    <customSheetView guid="{6380A144-568E-A444-AD29-13D143E15DA1}">
      <selection activeCell="E17" sqref="E17"/>
      <pageMargins left="0" right="0" top="0" bottom="0" header="0" footer="0"/>
      <pageSetup orientation="portrait" horizontalDpi="0" verticalDpi="0"/>
    </customSheetView>
  </customSheetViews>
  <mergeCells count="1">
    <mergeCell ref="B3:B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F05A-60AD-45A8-A7BC-9547E7ADF2E4}">
  <dimension ref="A1:E52"/>
  <sheetViews>
    <sheetView topLeftCell="A4" workbookViewId="0">
      <selection activeCell="D40" sqref="D40"/>
    </sheetView>
  </sheetViews>
  <sheetFormatPr defaultRowHeight="14.4" outlineLevelCol="1"/>
  <cols>
    <col min="1" max="1" width="23.44140625" customWidth="1"/>
    <col min="2" max="2" width="13.5546875" customWidth="1"/>
    <col min="3" max="3" width="16.33203125" hidden="1" customWidth="1" outlineLevel="1"/>
    <col min="4" max="4" width="16" customWidth="1" collapsed="1"/>
    <col min="5" max="5" width="13.109375" bestFit="1" customWidth="1"/>
  </cols>
  <sheetData>
    <row r="1" spans="1:5" ht="15" thickBot="1"/>
    <row r="2" spans="1:5" ht="18.75" customHeight="1" thickBot="1">
      <c r="A2" s="62" t="s">
        <v>110</v>
      </c>
      <c r="B2" s="63" t="s">
        <v>111</v>
      </c>
      <c r="C2" s="63" t="s">
        <v>112</v>
      </c>
      <c r="D2" s="64" t="s">
        <v>113</v>
      </c>
    </row>
    <row r="3" spans="1:5">
      <c r="A3" s="56" t="s">
        <v>114</v>
      </c>
      <c r="B3" s="60" t="s">
        <v>115</v>
      </c>
      <c r="C3" s="60" t="s">
        <v>116</v>
      </c>
      <c r="D3" s="57">
        <v>0.04</v>
      </c>
    </row>
    <row r="4" spans="1:5">
      <c r="A4" s="56" t="s">
        <v>117</v>
      </c>
      <c r="B4" s="60" t="s">
        <v>118</v>
      </c>
      <c r="C4" s="60" t="s">
        <v>119</v>
      </c>
      <c r="D4" s="57">
        <v>0</v>
      </c>
      <c r="E4" s="76" t="s">
        <v>120</v>
      </c>
    </row>
    <row r="5" spans="1:5">
      <c r="A5" s="56" t="s">
        <v>121</v>
      </c>
      <c r="B5" s="60" t="s">
        <v>122</v>
      </c>
      <c r="C5" s="60" t="s">
        <v>123</v>
      </c>
      <c r="D5" s="57">
        <v>5.6000000000000001E-2</v>
      </c>
    </row>
    <row r="6" spans="1:5">
      <c r="A6" s="56" t="s">
        <v>124</v>
      </c>
      <c r="B6" s="60" t="s">
        <v>125</v>
      </c>
      <c r="C6" s="60" t="s">
        <v>126</v>
      </c>
      <c r="D6" s="57">
        <v>6.5000000000000002E-2</v>
      </c>
    </row>
    <row r="7" spans="1:5">
      <c r="A7" s="56" t="s">
        <v>127</v>
      </c>
      <c r="B7" s="60" t="s">
        <v>128</v>
      </c>
      <c r="C7" s="60" t="s">
        <v>129</v>
      </c>
      <c r="D7" s="57">
        <v>7.2499999999999995E-2</v>
      </c>
    </row>
    <row r="8" spans="1:5">
      <c r="A8" s="56" t="s">
        <v>130</v>
      </c>
      <c r="B8" s="60" t="s">
        <v>131</v>
      </c>
      <c r="C8" s="60" t="s">
        <v>132</v>
      </c>
      <c r="D8" s="57">
        <v>2.9000000000000001E-2</v>
      </c>
    </row>
    <row r="9" spans="1:5">
      <c r="A9" s="56" t="s">
        <v>133</v>
      </c>
      <c r="B9" s="60" t="s">
        <v>134</v>
      </c>
      <c r="C9" s="60" t="s">
        <v>135</v>
      </c>
      <c r="D9" s="57">
        <v>6.3500000000000001E-2</v>
      </c>
    </row>
    <row r="10" spans="1:5">
      <c r="A10" s="56" t="s">
        <v>136</v>
      </c>
      <c r="B10" s="60" t="s">
        <v>137</v>
      </c>
      <c r="C10" s="60" t="s">
        <v>138</v>
      </c>
      <c r="D10" s="57">
        <v>0</v>
      </c>
      <c r="E10" s="76" t="s">
        <v>120</v>
      </c>
    </row>
    <row r="11" spans="1:5">
      <c r="A11" s="56" t="s">
        <v>139</v>
      </c>
      <c r="B11" s="60" t="s">
        <v>140</v>
      </c>
      <c r="C11" s="60" t="s">
        <v>141</v>
      </c>
      <c r="D11" s="57">
        <v>0.06</v>
      </c>
    </row>
    <row r="12" spans="1:5">
      <c r="A12" s="56" t="s">
        <v>142</v>
      </c>
      <c r="B12" s="60" t="s">
        <v>143</v>
      </c>
      <c r="C12" s="60" t="s">
        <v>144</v>
      </c>
      <c r="D12" s="57">
        <v>0.04</v>
      </c>
    </row>
    <row r="13" spans="1:5">
      <c r="A13" s="56" t="s">
        <v>145</v>
      </c>
      <c r="B13" s="60" t="s">
        <v>146</v>
      </c>
      <c r="C13" s="60" t="s">
        <v>147</v>
      </c>
      <c r="D13" s="57">
        <v>0.04</v>
      </c>
    </row>
    <row r="14" spans="1:5">
      <c r="A14" s="56" t="s">
        <v>148</v>
      </c>
      <c r="B14" s="60" t="s">
        <v>149</v>
      </c>
      <c r="C14" s="60" t="s">
        <v>150</v>
      </c>
      <c r="D14" s="57">
        <v>0.06</v>
      </c>
    </row>
    <row r="15" spans="1:5">
      <c r="A15" s="56" t="s">
        <v>151</v>
      </c>
      <c r="B15" s="60" t="s">
        <v>152</v>
      </c>
      <c r="C15" s="60" t="s">
        <v>153</v>
      </c>
      <c r="D15" s="57">
        <v>6.25E-2</v>
      </c>
    </row>
    <row r="16" spans="1:5">
      <c r="A16" s="56" t="s">
        <v>154</v>
      </c>
      <c r="B16" s="60" t="s">
        <v>155</v>
      </c>
      <c r="C16" s="60" t="s">
        <v>156</v>
      </c>
      <c r="D16" s="57">
        <v>7.0000000000000007E-2</v>
      </c>
    </row>
    <row r="17" spans="1:5">
      <c r="A17" s="56" t="s">
        <v>157</v>
      </c>
      <c r="B17" s="60" t="s">
        <v>158</v>
      </c>
      <c r="C17" s="60" t="s">
        <v>159</v>
      </c>
      <c r="D17" s="57">
        <v>0.06</v>
      </c>
    </row>
    <row r="18" spans="1:5">
      <c r="A18" s="56" t="s">
        <v>160</v>
      </c>
      <c r="B18" s="60" t="s">
        <v>161</v>
      </c>
      <c r="C18" s="60" t="s">
        <v>162</v>
      </c>
      <c r="D18" s="57">
        <v>6.5000000000000002E-2</v>
      </c>
    </row>
    <row r="19" spans="1:5">
      <c r="A19" s="56" t="s">
        <v>163</v>
      </c>
      <c r="B19" s="60" t="s">
        <v>164</v>
      </c>
      <c r="C19" s="60" t="s">
        <v>165</v>
      </c>
      <c r="D19" s="57">
        <v>0.06</v>
      </c>
    </row>
    <row r="20" spans="1:5">
      <c r="A20" s="56" t="s">
        <v>166</v>
      </c>
      <c r="B20" s="60" t="s">
        <v>167</v>
      </c>
      <c r="C20" s="60" t="s">
        <v>168</v>
      </c>
      <c r="D20" s="57">
        <v>0.05</v>
      </c>
    </row>
    <row r="21" spans="1:5">
      <c r="A21" s="56" t="s">
        <v>169</v>
      </c>
      <c r="B21" s="60" t="s">
        <v>170</v>
      </c>
      <c r="C21" s="60" t="s">
        <v>171</v>
      </c>
      <c r="D21" s="57">
        <v>5.5E-2</v>
      </c>
    </row>
    <row r="22" spans="1:5">
      <c r="A22" s="56" t="s">
        <v>172</v>
      </c>
      <c r="B22" s="60" t="s">
        <v>173</v>
      </c>
      <c r="C22" s="60" t="s">
        <v>174</v>
      </c>
      <c r="D22" s="57">
        <v>0.06</v>
      </c>
    </row>
    <row r="23" spans="1:5">
      <c r="A23" s="56" t="s">
        <v>175</v>
      </c>
      <c r="B23" s="60" t="s">
        <v>176</v>
      </c>
      <c r="C23" s="60" t="s">
        <v>177</v>
      </c>
      <c r="D23" s="57">
        <v>6.25E-2</v>
      </c>
    </row>
    <row r="24" spans="1:5">
      <c r="A24" s="56" t="s">
        <v>178</v>
      </c>
      <c r="B24" s="60" t="s">
        <v>179</v>
      </c>
      <c r="C24" s="60" t="s">
        <v>180</v>
      </c>
      <c r="D24" s="57">
        <v>0.06</v>
      </c>
    </row>
    <row r="25" spans="1:5">
      <c r="A25" s="56" t="s">
        <v>181</v>
      </c>
      <c r="B25" s="60" t="s">
        <v>182</v>
      </c>
      <c r="C25" s="60" t="s">
        <v>183</v>
      </c>
      <c r="D25" s="57">
        <v>6.8750000000000006E-2</v>
      </c>
    </row>
    <row r="26" spans="1:5">
      <c r="A26" s="56" t="s">
        <v>184</v>
      </c>
      <c r="B26" s="60" t="s">
        <v>185</v>
      </c>
      <c r="C26" s="60" t="s">
        <v>186</v>
      </c>
      <c r="D26" s="57">
        <v>7.0000000000000007E-2</v>
      </c>
    </row>
    <row r="27" spans="1:5">
      <c r="A27" s="56" t="s">
        <v>187</v>
      </c>
      <c r="B27" s="60" t="s">
        <v>188</v>
      </c>
      <c r="C27" s="60" t="s">
        <v>189</v>
      </c>
      <c r="D27" s="57">
        <v>4.2250000000000003E-2</v>
      </c>
    </row>
    <row r="28" spans="1:5">
      <c r="A28" s="56" t="s">
        <v>190</v>
      </c>
      <c r="B28" s="60" t="s">
        <v>191</v>
      </c>
      <c r="C28" s="60" t="s">
        <v>192</v>
      </c>
      <c r="D28" s="57">
        <v>0</v>
      </c>
      <c r="E28" s="76" t="s">
        <v>120</v>
      </c>
    </row>
    <row r="29" spans="1:5">
      <c r="A29" s="56" t="s">
        <v>193</v>
      </c>
      <c r="B29" s="60" t="s">
        <v>194</v>
      </c>
      <c r="C29" s="60" t="s">
        <v>195</v>
      </c>
      <c r="D29" s="57">
        <v>5.5E-2</v>
      </c>
    </row>
    <row r="30" spans="1:5">
      <c r="A30" s="56" t="s">
        <v>196</v>
      </c>
      <c r="B30" s="60" t="s">
        <v>197</v>
      </c>
      <c r="C30" s="60" t="s">
        <v>198</v>
      </c>
      <c r="D30" s="57">
        <v>4.5999999999999999E-2</v>
      </c>
    </row>
    <row r="31" spans="1:5">
      <c r="A31" s="56" t="s">
        <v>199</v>
      </c>
      <c r="B31" s="60" t="s">
        <v>200</v>
      </c>
      <c r="C31" s="60" t="s">
        <v>201</v>
      </c>
      <c r="D31" s="57">
        <v>0</v>
      </c>
      <c r="E31" s="76" t="s">
        <v>120</v>
      </c>
    </row>
    <row r="32" spans="1:5">
      <c r="A32" s="56" t="s">
        <v>202</v>
      </c>
      <c r="B32" s="60" t="s">
        <v>203</v>
      </c>
      <c r="C32" s="60" t="s">
        <v>204</v>
      </c>
      <c r="D32" s="57">
        <v>6.6250000000000003E-2</v>
      </c>
    </row>
    <row r="33" spans="1:5">
      <c r="A33" s="56" t="s">
        <v>205</v>
      </c>
      <c r="B33" s="60" t="s">
        <v>206</v>
      </c>
      <c r="C33" s="60" t="s">
        <v>207</v>
      </c>
      <c r="D33" s="57">
        <v>5.1249999999999997E-2</v>
      </c>
    </row>
    <row r="34" spans="1:5">
      <c r="A34" s="56" t="s">
        <v>208</v>
      </c>
      <c r="B34" s="60" t="s">
        <v>209</v>
      </c>
      <c r="C34" s="60" t="s">
        <v>210</v>
      </c>
      <c r="D34" s="57">
        <v>0.04</v>
      </c>
    </row>
    <row r="35" spans="1:5">
      <c r="A35" s="56" t="s">
        <v>211</v>
      </c>
      <c r="B35" s="60" t="s">
        <v>212</v>
      </c>
      <c r="C35" s="60" t="s">
        <v>213</v>
      </c>
      <c r="D35" s="57">
        <v>4.7500000000000001E-2</v>
      </c>
    </row>
    <row r="36" spans="1:5">
      <c r="A36" s="56" t="s">
        <v>214</v>
      </c>
      <c r="B36" s="60" t="s">
        <v>215</v>
      </c>
      <c r="C36" s="60" t="s">
        <v>216</v>
      </c>
      <c r="D36" s="57">
        <v>0.05</v>
      </c>
    </row>
    <row r="37" spans="1:5">
      <c r="A37" s="56" t="s">
        <v>217</v>
      </c>
      <c r="B37" s="60" t="s">
        <v>218</v>
      </c>
      <c r="C37" s="60" t="s">
        <v>219</v>
      </c>
      <c r="D37" s="57">
        <v>5.7500000000000002E-2</v>
      </c>
    </row>
    <row r="38" spans="1:5">
      <c r="A38" s="56" t="s">
        <v>220</v>
      </c>
      <c r="B38" s="60" t="s">
        <v>221</v>
      </c>
      <c r="C38" s="60" t="s">
        <v>222</v>
      </c>
      <c r="D38" s="57">
        <v>4.4999999999999998E-2</v>
      </c>
    </row>
    <row r="39" spans="1:5">
      <c r="A39" s="56" t="s">
        <v>223</v>
      </c>
      <c r="B39" s="60" t="s">
        <v>224</v>
      </c>
      <c r="C39" s="60" t="s">
        <v>225</v>
      </c>
      <c r="D39" s="57">
        <v>0</v>
      </c>
      <c r="E39" s="76" t="s">
        <v>120</v>
      </c>
    </row>
    <row r="40" spans="1:5">
      <c r="A40" s="56" t="s">
        <v>226</v>
      </c>
      <c r="B40" s="60" t="s">
        <v>227</v>
      </c>
      <c r="C40" s="60" t="s">
        <v>228</v>
      </c>
      <c r="D40" s="57">
        <v>0.06</v>
      </c>
    </row>
    <row r="41" spans="1:5">
      <c r="A41" s="56" t="s">
        <v>229</v>
      </c>
      <c r="B41" s="60" t="s">
        <v>230</v>
      </c>
      <c r="C41" s="60" t="s">
        <v>231</v>
      </c>
      <c r="D41" s="57">
        <v>7.0000000000000007E-2</v>
      </c>
    </row>
    <row r="42" spans="1:5">
      <c r="A42" s="56" t="s">
        <v>232</v>
      </c>
      <c r="B42" s="60" t="s">
        <v>233</v>
      </c>
      <c r="C42" s="60" t="s">
        <v>234</v>
      </c>
      <c r="D42" s="57">
        <v>0.06</v>
      </c>
    </row>
    <row r="43" spans="1:5">
      <c r="A43" s="56" t="s">
        <v>235</v>
      </c>
      <c r="B43" s="60" t="s">
        <v>236</v>
      </c>
      <c r="C43" s="60" t="s">
        <v>237</v>
      </c>
      <c r="D43" s="57">
        <v>4.4999999999999998E-2</v>
      </c>
    </row>
    <row r="44" spans="1:5">
      <c r="A44" s="56" t="s">
        <v>238</v>
      </c>
      <c r="B44" s="60" t="s">
        <v>239</v>
      </c>
      <c r="C44" s="60" t="s">
        <v>240</v>
      </c>
      <c r="D44" s="57">
        <v>7.0000000000000007E-2</v>
      </c>
    </row>
    <row r="45" spans="1:5">
      <c r="A45" s="56" t="s">
        <v>241</v>
      </c>
      <c r="B45" s="60" t="s">
        <v>242</v>
      </c>
      <c r="C45" s="60" t="s">
        <v>243</v>
      </c>
      <c r="D45" s="57">
        <v>6.25E-2</v>
      </c>
    </row>
    <row r="46" spans="1:5">
      <c r="A46" s="56" t="s">
        <v>244</v>
      </c>
      <c r="B46" s="60" t="s">
        <v>245</v>
      </c>
      <c r="C46" s="60" t="s">
        <v>246</v>
      </c>
      <c r="D46" s="57">
        <v>4.7E-2</v>
      </c>
    </row>
    <row r="47" spans="1:5">
      <c r="A47" s="56" t="s">
        <v>247</v>
      </c>
      <c r="B47" s="60" t="s">
        <v>248</v>
      </c>
      <c r="C47" s="60" t="s">
        <v>249</v>
      </c>
      <c r="D47" s="57">
        <v>0.06</v>
      </c>
    </row>
    <row r="48" spans="1:5">
      <c r="A48" s="56" t="s">
        <v>250</v>
      </c>
      <c r="B48" s="60" t="s">
        <v>251</v>
      </c>
      <c r="C48" s="60" t="s">
        <v>252</v>
      </c>
      <c r="D48" s="57">
        <v>4.2999999999999997E-2</v>
      </c>
    </row>
    <row r="49" spans="1:4">
      <c r="A49" s="56" t="s">
        <v>253</v>
      </c>
      <c r="B49" s="60" t="s">
        <v>254</v>
      </c>
      <c r="C49" s="60" t="s">
        <v>255</v>
      </c>
      <c r="D49" s="57">
        <v>6.5000000000000002E-2</v>
      </c>
    </row>
    <row r="50" spans="1:4">
      <c r="A50" s="56" t="s">
        <v>256</v>
      </c>
      <c r="B50" s="60" t="s">
        <v>257</v>
      </c>
      <c r="C50" s="60" t="s">
        <v>258</v>
      </c>
      <c r="D50" s="57">
        <v>0.06</v>
      </c>
    </row>
    <row r="51" spans="1:4">
      <c r="A51" s="56" t="s">
        <v>259</v>
      </c>
      <c r="B51" s="60" t="s">
        <v>260</v>
      </c>
      <c r="C51" s="60" t="s">
        <v>261</v>
      </c>
      <c r="D51" s="57">
        <v>0.05</v>
      </c>
    </row>
    <row r="52" spans="1:4" ht="15" thickBot="1">
      <c r="A52" s="58" t="s">
        <v>262</v>
      </c>
      <c r="B52" s="61" t="s">
        <v>263</v>
      </c>
      <c r="C52" s="61" t="s">
        <v>264</v>
      </c>
      <c r="D52" s="59">
        <v>0.04</v>
      </c>
    </row>
  </sheetData>
  <sheetProtection algorithmName="SHA-512" hashValue="tdXVQ3TOkx+24ZRwK0+0wIH7EYcDY6MYbKnUfnMb35SoNJFkAA/ywgRsQllM7F/mKbmPg7V9diH6+vlV8JQeRQ==" saltValue="mI717lqNTl04t6Rhd1rV5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36471a-5899-4de4-9681-0932c9a52015">
      <Terms xmlns="http://schemas.microsoft.com/office/infopath/2007/PartnerControls"/>
    </lcf76f155ced4ddcb4097134ff3c332f>
    <TaxCatchAll xmlns="9c8ae868-e810-474c-8e3a-0d2e55847f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754CE49733204EB7C0256F0EF5A781" ma:contentTypeVersion="17" ma:contentTypeDescription="Create a new document." ma:contentTypeScope="" ma:versionID="6946b013172484c9e73db444f2bd851b">
  <xsd:schema xmlns:xsd="http://www.w3.org/2001/XMLSchema" xmlns:xs="http://www.w3.org/2001/XMLSchema" xmlns:p="http://schemas.microsoft.com/office/2006/metadata/properties" xmlns:ns2="4636471a-5899-4de4-9681-0932c9a52015" xmlns:ns3="9c8ae868-e810-474c-8e3a-0d2e55847f17" targetNamespace="http://schemas.microsoft.com/office/2006/metadata/properties" ma:root="true" ma:fieldsID="5f960b246ac4de639488026c8f4e123c" ns2:_="" ns3:_="">
    <xsd:import namespace="4636471a-5899-4de4-9681-0932c9a52015"/>
    <xsd:import namespace="9c8ae868-e810-474c-8e3a-0d2e55847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6471a-5899-4de4-9681-0932c9a52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da59b67-f14b-4f65-a995-dd98c1e24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ae868-e810-474c-8e3a-0d2e55847f1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399a427-a26f-4057-bdc1-8fa0c8207886}" ma:internalName="TaxCatchAll" ma:showField="CatchAllData" ma:web="9c8ae868-e810-474c-8e3a-0d2e55847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301F0-7C8B-4412-9454-134194D0A5EE}">
  <ds:schemaRefs>
    <ds:schemaRef ds:uri="http://schemas.microsoft.com/office/2006/metadata/properties"/>
    <ds:schemaRef ds:uri="http://schemas.microsoft.com/office/infopath/2007/PartnerControls"/>
    <ds:schemaRef ds:uri="4636471a-5899-4de4-9681-0932c9a52015"/>
    <ds:schemaRef ds:uri="9c8ae868-e810-474c-8e3a-0d2e55847f17"/>
  </ds:schemaRefs>
</ds:datastoreItem>
</file>

<file path=customXml/itemProps2.xml><?xml version="1.0" encoding="utf-8"?>
<ds:datastoreItem xmlns:ds="http://schemas.openxmlformats.org/officeDocument/2006/customXml" ds:itemID="{1CE96C43-4ADA-4175-9FDF-7D5051907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59010-15B6-4EA4-9D7D-21BABDEF2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6471a-5899-4de4-9681-0932c9a52015"/>
    <ds:schemaRef ds:uri="9c8ae868-e810-474c-8e3a-0d2e55847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Form</vt:lpstr>
      <vt:lpstr>Acct Code_Dept</vt:lpstr>
      <vt:lpstr>Sales Tax by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McKibbin</dc:creator>
  <cp:keywords/>
  <dc:description/>
  <cp:lastModifiedBy>Ronald Kurnik</cp:lastModifiedBy>
  <cp:revision/>
  <dcterms:created xsi:type="dcterms:W3CDTF">2020-07-08T21:49:45Z</dcterms:created>
  <dcterms:modified xsi:type="dcterms:W3CDTF">2026-07-01T17:18:42Z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0x0101002D754CE49733204EB7C0256F0EF5A781</vt:lpwstr>
  </property>
  <property fmtid="{D5CDD505-2E9C-101B-9397-08002B2CF9AE}" pid="3" name="MediaServiceImageTags">
    <vt:lpwstr/>
  </property>
</Properties>
</file>