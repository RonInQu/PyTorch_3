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quismedicalcom-my.sharepoint.com/personal/ronald_inquismedical_com/Documents/Documents/2026/PyTorch_3/Ultrasound/"/>
    </mc:Choice>
  </mc:AlternateContent>
  <xr:revisionPtr revIDLastSave="103" documentId="8_{DE95A5DA-51AF-45FC-B4D2-B9B005D8766F}" xr6:coauthVersionLast="47" xr6:coauthVersionMax="47" xr10:uidLastSave="{742499DA-0A5A-45BB-8388-F50DA7EFD65C}"/>
  <bookViews>
    <workbookView xWindow="23016" yWindow="852" windowWidth="16152" windowHeight="12972" activeTab="1" xr2:uid="{F985D92A-DF8F-4CBF-B2C0-EC294213CAA0}"/>
  </bookViews>
  <sheets>
    <sheet name="Base_AirNeedsFix" sheetId="1" r:id="rId1"/>
    <sheet name="AllWithRm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9" i="2" l="1"/>
  <c r="K12" i="2"/>
  <c r="K5" i="2"/>
  <c r="J20" i="2"/>
  <c r="J13" i="2"/>
  <c r="J6" i="2"/>
  <c r="I6" i="2"/>
  <c r="I20" i="2"/>
  <c r="I13" i="2"/>
</calcChain>
</file>

<file path=xl/sharedStrings.xml><?xml version="1.0" encoding="utf-8"?>
<sst xmlns="http://schemas.openxmlformats.org/spreadsheetml/2006/main" count="54" uniqueCount="12">
  <si>
    <t xml:space="preserve">QCM STATE </t>
  </si>
  <si>
    <t xml:space="preserve"> RESONANCE (Hz) </t>
  </si>
  <si>
    <t xml:space="preserve"> PEAK G (mS) </t>
  </si>
  <si>
    <t xml:space="preserve"> Q-FACTOR</t>
  </si>
  <si>
    <t xml:space="preserve">Air (Unloaded Baseline) </t>
  </si>
  <si>
    <t xml:space="preserve">Blood (Viscous Liquid) </t>
  </si>
  <si>
    <t xml:space="preserve">Blood Clot (Viscoelastic Gel) </t>
  </si>
  <si>
    <t xml:space="preserve">Vessel Wall (Elastic Contact) </t>
  </si>
  <si>
    <t>10MHz</t>
  </si>
  <si>
    <t>5MHz</t>
  </si>
  <si>
    <t>20MHz</t>
  </si>
  <si>
    <t>Rm 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</si>
</sst>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553F-0128-4311-803D-FDD1F028716F}">
  <dimension ref="A2:E23"/>
  <sheetViews>
    <sheetView workbookViewId="0">
      <selection activeCell="J13" sqref="J13"/>
    </sheetView>
  </sheetViews>
  <sheetFormatPr defaultRowHeight="14.4" x14ac:dyDescent="0.3"/>
  <cols>
    <col min="2" max="2" width="25.21875" customWidth="1"/>
    <col min="3" max="3" width="15.77734375" bestFit="1" customWidth="1"/>
    <col min="4" max="4" width="11.5546875" bestFit="1" customWidth="1"/>
    <col min="5" max="5" width="10" bestFit="1" customWidth="1"/>
  </cols>
  <sheetData>
    <row r="2" spans="1:5" x14ac:dyDescent="0.3">
      <c r="A2" t="s">
        <v>9</v>
      </c>
    </row>
    <row r="3" spans="1:5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1:5" x14ac:dyDescent="0.3">
      <c r="B4" s="1" t="s">
        <v>4</v>
      </c>
      <c r="C4" s="2">
        <v>5000005</v>
      </c>
      <c r="D4" s="1">
        <v>99.12</v>
      </c>
      <c r="E4" s="1">
        <v>55527</v>
      </c>
    </row>
    <row r="5" spans="1:5" x14ac:dyDescent="0.3">
      <c r="B5" s="1" t="s">
        <v>5</v>
      </c>
      <c r="C5" s="2">
        <v>4999509</v>
      </c>
      <c r="D5" s="1">
        <v>6.67</v>
      </c>
      <c r="E5" s="1">
        <v>3162</v>
      </c>
    </row>
    <row r="6" spans="1:5" x14ac:dyDescent="0.3">
      <c r="B6" s="1" t="s">
        <v>6</v>
      </c>
      <c r="C6" s="2">
        <v>4997508</v>
      </c>
      <c r="D6" s="1">
        <v>1.54</v>
      </c>
      <c r="E6" s="1">
        <v>728</v>
      </c>
    </row>
    <row r="7" spans="1:5" x14ac:dyDescent="0.3">
      <c r="B7" s="1" t="s">
        <v>7</v>
      </c>
      <c r="C7" s="2">
        <v>4990025</v>
      </c>
      <c r="D7" s="1">
        <v>4</v>
      </c>
      <c r="E7" s="1">
        <v>1903</v>
      </c>
    </row>
    <row r="10" spans="1:5" x14ac:dyDescent="0.3">
      <c r="A10" t="s">
        <v>8</v>
      </c>
    </row>
    <row r="11" spans="1:5" x14ac:dyDescent="0.3">
      <c r="B11" s="1" t="s">
        <v>0</v>
      </c>
      <c r="C11" s="1" t="s">
        <v>1</v>
      </c>
      <c r="D11" s="1" t="s">
        <v>2</v>
      </c>
      <c r="E11" s="1" t="s">
        <v>3</v>
      </c>
    </row>
    <row r="12" spans="1:5" x14ac:dyDescent="0.3">
      <c r="B12" s="1" t="s">
        <v>4</v>
      </c>
      <c r="C12" s="2">
        <v>9999995</v>
      </c>
      <c r="D12" s="1">
        <v>99.12</v>
      </c>
      <c r="E12" s="1">
        <v>124937</v>
      </c>
    </row>
    <row r="13" spans="1:5" x14ac:dyDescent="0.3">
      <c r="B13" s="1" t="s">
        <v>5</v>
      </c>
      <c r="C13" s="2">
        <v>9999019</v>
      </c>
      <c r="D13" s="1">
        <v>4.71</v>
      </c>
      <c r="E13" s="1">
        <v>4542</v>
      </c>
    </row>
    <row r="14" spans="1:5" x14ac:dyDescent="0.3">
      <c r="B14" s="1" t="s">
        <v>6</v>
      </c>
      <c r="C14" s="2">
        <v>9995017</v>
      </c>
      <c r="D14" s="1">
        <v>1.0900000000000001</v>
      </c>
      <c r="E14" s="1">
        <v>1027</v>
      </c>
    </row>
    <row r="15" spans="1:5" x14ac:dyDescent="0.3">
      <c r="B15" s="1" t="s">
        <v>7</v>
      </c>
      <c r="C15" s="2">
        <v>9980050</v>
      </c>
      <c r="D15" s="1">
        <v>2.83</v>
      </c>
      <c r="E15" s="1">
        <v>2710</v>
      </c>
    </row>
    <row r="18" spans="1:5" x14ac:dyDescent="0.3">
      <c r="A18" t="s">
        <v>10</v>
      </c>
    </row>
    <row r="19" spans="1:5" x14ac:dyDescent="0.3">
      <c r="B19" s="1" t="s">
        <v>0</v>
      </c>
      <c r="C19" s="1" t="s">
        <v>1</v>
      </c>
      <c r="D19" s="1" t="s">
        <v>2</v>
      </c>
      <c r="E19" s="1" t="s">
        <v>3</v>
      </c>
    </row>
    <row r="20" spans="1:5" x14ac:dyDescent="0.3">
      <c r="B20" s="1" t="s">
        <v>4</v>
      </c>
      <c r="C20" s="2">
        <v>20000020</v>
      </c>
      <c r="D20" s="1">
        <v>87.55</v>
      </c>
      <c r="E20" s="2">
        <v>166583</v>
      </c>
    </row>
    <row r="21" spans="1:5" x14ac:dyDescent="0.3">
      <c r="B21" s="1" t="s">
        <v>5</v>
      </c>
      <c r="C21" s="2">
        <v>19998039</v>
      </c>
      <c r="D21" s="1">
        <v>3.33</v>
      </c>
      <c r="E21" s="2">
        <v>6406</v>
      </c>
    </row>
    <row r="22" spans="1:5" x14ac:dyDescent="0.3">
      <c r="B22" s="1" t="s">
        <v>6</v>
      </c>
      <c r="C22" s="2">
        <v>19990035</v>
      </c>
      <c r="D22" s="1">
        <v>0.77</v>
      </c>
      <c r="E22" s="1">
        <v>1460</v>
      </c>
    </row>
    <row r="23" spans="1:5" x14ac:dyDescent="0.3">
      <c r="B23" s="1" t="s">
        <v>7</v>
      </c>
      <c r="C23" s="2">
        <v>19960100</v>
      </c>
      <c r="D23" s="1">
        <v>2</v>
      </c>
      <c r="E23" s="2">
        <v>3836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C7A9-F99B-4649-B26F-9D5A85E6D86F}">
  <dimension ref="A2:K20"/>
  <sheetViews>
    <sheetView tabSelected="1" workbookViewId="0">
      <selection activeCell="J26" sqref="J26"/>
    </sheetView>
  </sheetViews>
  <sheetFormatPr defaultRowHeight="14.4" x14ac:dyDescent="0.3"/>
  <cols>
    <col min="2" max="2" width="25.21875" customWidth="1"/>
    <col min="3" max="3" width="15.77734375" bestFit="1" customWidth="1"/>
    <col min="4" max="4" width="11.5546875" bestFit="1" customWidth="1"/>
    <col min="5" max="5" width="10" bestFit="1" customWidth="1"/>
    <col min="6" max="6" width="9" bestFit="1" customWidth="1"/>
  </cols>
  <sheetData>
    <row r="2" spans="1:11" x14ac:dyDescent="0.3">
      <c r="A2" t="s">
        <v>9</v>
      </c>
    </row>
    <row r="3" spans="1:1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</row>
    <row r="4" spans="1:11" x14ac:dyDescent="0.3">
      <c r="B4" s="1" t="s">
        <v>5</v>
      </c>
      <c r="C4" s="2">
        <v>4999509</v>
      </c>
      <c r="D4" s="1">
        <v>6.67</v>
      </c>
      <c r="E4" s="1">
        <v>3162</v>
      </c>
      <c r="F4" s="1">
        <v>150</v>
      </c>
    </row>
    <row r="5" spans="1:11" x14ac:dyDescent="0.3">
      <c r="B5" s="1" t="s">
        <v>6</v>
      </c>
      <c r="C5" s="2">
        <v>4997508</v>
      </c>
      <c r="D5" s="1">
        <v>1.54</v>
      </c>
      <c r="E5" s="1">
        <v>728</v>
      </c>
      <c r="F5" s="1">
        <v>650</v>
      </c>
      <c r="K5">
        <f>F5-F6</f>
        <v>400</v>
      </c>
    </row>
    <row r="6" spans="1:11" x14ac:dyDescent="0.3">
      <c r="B6" s="1" t="s">
        <v>7</v>
      </c>
      <c r="C6" s="2">
        <v>4990025</v>
      </c>
      <c r="D6" s="1">
        <v>4</v>
      </c>
      <c r="E6" s="1">
        <v>1903</v>
      </c>
      <c r="F6" s="1">
        <v>250</v>
      </c>
      <c r="I6">
        <f>E6/E5</f>
        <v>2.6140109890109891</v>
      </c>
      <c r="J6">
        <f>E6-E5</f>
        <v>1175</v>
      </c>
    </row>
    <row r="9" spans="1:11" x14ac:dyDescent="0.3">
      <c r="A9" t="s">
        <v>8</v>
      </c>
    </row>
    <row r="10" spans="1:11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11</v>
      </c>
    </row>
    <row r="11" spans="1:11" x14ac:dyDescent="0.3">
      <c r="B11" s="1" t="s">
        <v>5</v>
      </c>
      <c r="C11" s="2">
        <v>9999019</v>
      </c>
      <c r="D11" s="1">
        <v>4.71</v>
      </c>
      <c r="E11" s="1">
        <v>4542</v>
      </c>
      <c r="F11" s="1">
        <v>212</v>
      </c>
    </row>
    <row r="12" spans="1:11" x14ac:dyDescent="0.3">
      <c r="B12" s="1" t="s">
        <v>6</v>
      </c>
      <c r="C12" s="2">
        <v>9995017</v>
      </c>
      <c r="D12" s="1">
        <v>1.0900000000000001</v>
      </c>
      <c r="E12" s="1">
        <v>1027</v>
      </c>
      <c r="F12" s="1">
        <v>919</v>
      </c>
      <c r="K12">
        <f>F12-F13</f>
        <v>566</v>
      </c>
    </row>
    <row r="13" spans="1:11" x14ac:dyDescent="0.3">
      <c r="B13" s="1" t="s">
        <v>7</v>
      </c>
      <c r="C13" s="2">
        <v>9980050</v>
      </c>
      <c r="D13" s="1">
        <v>2.83</v>
      </c>
      <c r="E13" s="1">
        <v>2710</v>
      </c>
      <c r="F13" s="1">
        <v>353</v>
      </c>
      <c r="I13">
        <f>E13/E12</f>
        <v>2.6387536514118795</v>
      </c>
      <c r="J13">
        <f>E13-E12</f>
        <v>1683</v>
      </c>
    </row>
    <row r="16" spans="1:11" x14ac:dyDescent="0.3">
      <c r="A16" t="s">
        <v>10</v>
      </c>
    </row>
    <row r="17" spans="2:11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11</v>
      </c>
    </row>
    <row r="18" spans="2:11" x14ac:dyDescent="0.3">
      <c r="B18" s="1" t="s">
        <v>5</v>
      </c>
      <c r="C18" s="2">
        <v>19998039</v>
      </c>
      <c r="D18" s="1">
        <v>3.33</v>
      </c>
      <c r="E18" s="2">
        <v>6406</v>
      </c>
      <c r="F18" s="1">
        <v>300</v>
      </c>
    </row>
    <row r="19" spans="2:11" x14ac:dyDescent="0.3">
      <c r="B19" s="1" t="s">
        <v>6</v>
      </c>
      <c r="C19" s="2">
        <v>19990035</v>
      </c>
      <c r="D19" s="1">
        <v>0.77</v>
      </c>
      <c r="E19" s="1">
        <v>1460</v>
      </c>
      <c r="F19" s="1">
        <v>1300</v>
      </c>
      <c r="K19">
        <f>F19-F20</f>
        <v>800</v>
      </c>
    </row>
    <row r="20" spans="2:11" x14ac:dyDescent="0.3">
      <c r="B20" s="1" t="s">
        <v>7</v>
      </c>
      <c r="C20" s="2">
        <v>19960100</v>
      </c>
      <c r="D20" s="1">
        <v>2</v>
      </c>
      <c r="E20" s="2">
        <v>3836</v>
      </c>
      <c r="F20" s="1">
        <v>500</v>
      </c>
      <c r="I20">
        <f>E20/E19</f>
        <v>2.6273972602739728</v>
      </c>
      <c r="J20">
        <f>E20-E19</f>
        <v>2376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Base_AirNeedsFix</vt:lpstr>
      <vt:lpstr>AllWithRm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Kurnik</dc:creator>
  <cp:lastModifiedBy>Ronald Kurnik</cp:lastModifiedBy>
  <dcterms:created xsi:type="dcterms:W3CDTF">2026-07-17T18:06:29Z</dcterms:created>
  <dcterms:modified xsi:type="dcterms:W3CDTF">2026-08-14T16:52:32Z</dcterms:modified>
</cp:coreProperties>
</file>