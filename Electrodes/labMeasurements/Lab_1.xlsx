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quismedicalcom-my.sharepoint.com/personal/ronald_inquismedical_com/Documents/Documents/2026/PyTorch_3/Electrodes/labMeasurements/"/>
    </mc:Choice>
  </mc:AlternateContent>
  <xr:revisionPtr revIDLastSave="0" documentId="8_{CAA16A55-0805-4229-A577-0ADC52F960CE}" xr6:coauthVersionLast="47" xr6:coauthVersionMax="47" xr10:uidLastSave="{00000000-0000-0000-0000-000000000000}"/>
  <bookViews>
    <workbookView xWindow="1392" yWindow="660" windowWidth="20340" windowHeight="13932" xr2:uid="{D62C4EDF-EB28-4D3C-ADAD-0E90CA494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" i="1" l="1"/>
  <c r="D23" i="1"/>
  <c r="D22" i="1"/>
  <c r="C24" i="1"/>
  <c r="C23" i="1"/>
  <c r="C22" i="1"/>
  <c r="D12" i="1"/>
  <c r="C12" i="1"/>
  <c r="C9" i="1"/>
  <c r="D9" i="1"/>
</calcChain>
</file>

<file path=xl/sharedStrings.xml><?xml version="1.0" encoding="utf-8"?>
<sst xmlns="http://schemas.openxmlformats.org/spreadsheetml/2006/main" count="11" uniqueCount="11">
  <si>
    <t>blood</t>
  </si>
  <si>
    <t>kHz</t>
  </si>
  <si>
    <t>ohm</t>
  </si>
  <si>
    <t>phase</t>
  </si>
  <si>
    <t>clot</t>
  </si>
  <si>
    <t>tissue #1</t>
  </si>
  <si>
    <t>with blood</t>
  </si>
  <si>
    <t>tissue #2</t>
  </si>
  <si>
    <t>less blood</t>
  </si>
  <si>
    <t>tissue #3</t>
  </si>
  <si>
    <t>no 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</si>
</sst>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35EE-094E-4965-A09D-38384ADBC432}">
  <dimension ref="A1:D24"/>
  <sheetViews>
    <sheetView tabSelected="1" workbookViewId="0">
      <selection activeCell="H19" sqref="H19"/>
    </sheetView>
  </sheetViews>
  <sheetFormatPr defaultRowHeight="14.4" x14ac:dyDescent="0.3"/>
  <sheetData>
    <row r="1" spans="1:4" x14ac:dyDescent="0.3">
      <c r="B1" t="s">
        <v>1</v>
      </c>
      <c r="C1" t="s">
        <v>2</v>
      </c>
      <c r="D1" t="s">
        <v>3</v>
      </c>
    </row>
    <row r="2" spans="1:4" x14ac:dyDescent="0.3">
      <c r="A2" t="s">
        <v>0</v>
      </c>
      <c r="B2">
        <v>5</v>
      </c>
      <c r="C2">
        <v>565</v>
      </c>
      <c r="D2">
        <v>-1.95</v>
      </c>
    </row>
    <row r="3" spans="1:4" x14ac:dyDescent="0.3">
      <c r="B3">
        <v>50</v>
      </c>
      <c r="C3">
        <v>524</v>
      </c>
      <c r="D3">
        <v>-3.34</v>
      </c>
    </row>
    <row r="4" spans="1:4" x14ac:dyDescent="0.3">
      <c r="B4">
        <v>100</v>
      </c>
      <c r="C4">
        <v>516</v>
      </c>
      <c r="D4">
        <v>-4.62</v>
      </c>
    </row>
    <row r="7" spans="1:4" x14ac:dyDescent="0.3">
      <c r="A7" t="s">
        <v>4</v>
      </c>
      <c r="B7">
        <v>5</v>
      </c>
      <c r="C7">
        <v>1052</v>
      </c>
      <c r="D7">
        <v>-2.95</v>
      </c>
    </row>
    <row r="8" spans="1:4" x14ac:dyDescent="0.3">
      <c r="B8">
        <v>50</v>
      </c>
      <c r="C8">
        <v>963</v>
      </c>
      <c r="D8">
        <v>-10.56</v>
      </c>
    </row>
    <row r="9" spans="1:4" x14ac:dyDescent="0.3">
      <c r="B9">
        <v>100</v>
      </c>
      <c r="C9">
        <f>MEDIAN(921,924)</f>
        <v>922.5</v>
      </c>
      <c r="D9">
        <f>MEDIAN(-17.72,-17.94,-17.99,-18.04,-18.43)</f>
        <v>-17.989999999999998</v>
      </c>
    </row>
    <row r="12" spans="1:4" x14ac:dyDescent="0.3">
      <c r="A12" t="s">
        <v>5</v>
      </c>
      <c r="B12">
        <v>5</v>
      </c>
      <c r="C12">
        <f>MEDIAN(916,885,873,871,860)</f>
        <v>873</v>
      </c>
      <c r="D12">
        <f>MEDIAN(-3.76,-3.75,-3.73,-3.72)</f>
        <v>-3.74</v>
      </c>
    </row>
    <row r="13" spans="1:4" x14ac:dyDescent="0.3">
      <c r="A13" t="s">
        <v>6</v>
      </c>
      <c r="B13">
        <v>50</v>
      </c>
      <c r="C13">
        <v>795</v>
      </c>
      <c r="D13">
        <v>-4.72</v>
      </c>
    </row>
    <row r="14" spans="1:4" x14ac:dyDescent="0.3">
      <c r="B14">
        <v>100</v>
      </c>
      <c r="C14">
        <v>790</v>
      </c>
      <c r="D14">
        <v>-7.18</v>
      </c>
    </row>
    <row r="17" spans="1:4" x14ac:dyDescent="0.3">
      <c r="A17" t="s">
        <v>7</v>
      </c>
      <c r="B17">
        <v>5</v>
      </c>
      <c r="C17">
        <v>535</v>
      </c>
      <c r="D17">
        <v>-2.2400000000000002</v>
      </c>
    </row>
    <row r="18" spans="1:4" x14ac:dyDescent="0.3">
      <c r="A18" t="s">
        <v>8</v>
      </c>
      <c r="B18">
        <v>50</v>
      </c>
      <c r="C18">
        <v>509</v>
      </c>
      <c r="D18">
        <v>-3.89</v>
      </c>
    </row>
    <row r="19" spans="1:4" x14ac:dyDescent="0.3">
      <c r="B19">
        <v>100</v>
      </c>
      <c r="C19">
        <v>502</v>
      </c>
      <c r="D19">
        <v>-6.36</v>
      </c>
    </row>
    <row r="22" spans="1:4" x14ac:dyDescent="0.3">
      <c r="A22" t="s">
        <v>9</v>
      </c>
      <c r="B22">
        <v>5</v>
      </c>
      <c r="C22">
        <f>MEDIAN(692,689,690,691)</f>
        <v>690.5</v>
      </c>
      <c r="D22">
        <f>MEDIAN(-7.72,-7.67,-7.6,-7.55)</f>
        <v>-7.6349999999999998</v>
      </c>
    </row>
    <row r="23" spans="1:4" x14ac:dyDescent="0.3">
      <c r="A23" t="s">
        <v>10</v>
      </c>
      <c r="B23">
        <v>50</v>
      </c>
      <c r="C23">
        <f>MEDIAN(606,607,609,610)</f>
        <v>608</v>
      </c>
      <c r="D23">
        <f>MEDIAN(-16.31,-16.22,-16.13,-16.04)</f>
        <v>-16.174999999999997</v>
      </c>
    </row>
    <row r="24" spans="1:4" x14ac:dyDescent="0.3">
      <c r="B24">
        <v>100</v>
      </c>
      <c r="C24">
        <f>MEDIAN(562,563,565,567)</f>
        <v>564</v>
      </c>
      <c r="D24">
        <f>MEDIAN(-25.49,-25.33,-25.22,-25.11)</f>
        <v>-25.274999999999999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Kurnik</dc:creator>
  <cp:lastModifiedBy>Ronald Kurnik</cp:lastModifiedBy>
  <dcterms:created xsi:type="dcterms:W3CDTF">2026-07-10T23:37:55Z</dcterms:created>
  <dcterms:modified xsi:type="dcterms:W3CDTF">2026-07-10T23:59:17Z</dcterms:modified>
</cp:coreProperties>
</file>